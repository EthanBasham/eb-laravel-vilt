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-Profits" sheetId="1" r:id="rId5"/>
    <sheet state="visible" name="Crews" sheetId="2" r:id="rId6"/>
    <sheet state="visible" name="Active Grinding" sheetId="3" r:id="rId7"/>
    <sheet state="visible" name="Crew Skill Guide" sheetId="4" r:id="rId8"/>
    <sheet state="visible" name="Equipment" sheetId="5" r:id="rId9"/>
    <sheet state="visible" name="Tanks to Purchase" sheetId="6" r:id="rId10"/>
    <sheet state="visible" name="XP Remaining" sheetId="7" r:id="rId11"/>
    <sheet state="visible" name="Free XP Usage" sheetId="8" r:id="rId12"/>
    <sheet state="visible" name="Blueprints" sheetId="9" r:id="rId13"/>
    <sheet state="visible" name="Campaigns" sheetId="10" r:id="rId14"/>
    <sheet state="visible" name="Arty Map Positions" sheetId="11" r:id="rId15"/>
    <sheet state="visible" name="Frontline Profit" sheetId="12" r:id="rId16"/>
    <sheet state="visible" name="Scratch Vouchers" sheetId="13" r:id="rId17"/>
    <sheet state="visible" name="Neon Dash" sheetId="14" r:id="rId18"/>
    <sheet state="visible" name="Steel Hunter" sheetId="15" r:id="rId19"/>
    <sheet state="visible" name="Winter Raid" sheetId="16" r:id="rId20"/>
    <sheet state="visible" name="Campaigns (Archived)" sheetId="17" r:id="rId21"/>
  </sheets>
  <definedNames>
    <definedName hidden="1" localSheetId="9" name="_xlnm._FilterDatabase">Campaigns!$B$1:$M$94</definedName>
    <definedName hidden="1" localSheetId="16" name="_xlnm._FilterDatabase">'Campaigns (Archived)'!$B$2:$I$26</definedName>
  </definedNames>
  <calcPr/>
</workbook>
</file>

<file path=xl/sharedStrings.xml><?xml version="1.0" encoding="utf-8"?>
<sst xmlns="http://schemas.openxmlformats.org/spreadsheetml/2006/main" count="4002" uniqueCount="922">
  <si>
    <t>Crew Config</t>
  </si>
  <si>
    <t>Exists</t>
  </si>
  <si>
    <t>Balanced</t>
  </si>
  <si>
    <t>Commander</t>
  </si>
  <si>
    <t>Gunner #1</t>
  </si>
  <si>
    <t>Gunner #2</t>
  </si>
  <si>
    <t>Driver</t>
  </si>
  <si>
    <t>Radio Operator</t>
  </si>
  <si>
    <t>Loader #1</t>
  </si>
  <si>
    <t>Loader #2</t>
  </si>
  <si>
    <t>XP on Skill</t>
  </si>
  <si>
    <t>Artillery</t>
  </si>
  <si>
    <t>XP Total</t>
  </si>
  <si>
    <t>XP Next Skill</t>
  </si>
  <si>
    <t>XP Remaining</t>
  </si>
  <si>
    <t>BIA</t>
  </si>
  <si>
    <t>T92 HMC</t>
  </si>
  <si>
    <t>CGDRLL</t>
  </si>
  <si>
    <t>Y</t>
  </si>
  <si>
    <t>N</t>
  </si>
  <si>
    <t>5*</t>
  </si>
  <si>
    <t>Hold the Line</t>
  </si>
  <si>
    <t>-</t>
  </si>
  <si>
    <t>Stay Sharp</t>
  </si>
  <si>
    <t>T110E3</t>
  </si>
  <si>
    <t>Camo</t>
  </si>
  <si>
    <t>CGDLL</t>
  </si>
  <si>
    <t>Practicality</t>
  </si>
  <si>
    <t>Mentor</t>
  </si>
  <si>
    <t>T110E4</t>
  </si>
  <si>
    <t>Stay Sharp is better for MOE grinding, but Hold the Line is more applicable for general grinding; Practicality to decrease the med kit timer</t>
  </si>
  <si>
    <t>Gunner</t>
  </si>
  <si>
    <t>Snap Shot</t>
  </si>
  <si>
    <t>Quick Aiming</t>
  </si>
  <si>
    <t>Lone Wolf</t>
  </si>
  <si>
    <t>Concentration</t>
  </si>
  <si>
    <t>Lone Wolf is very situational, but the benefit is enough to justify it</t>
  </si>
  <si>
    <t>T28 Prot crew is zero-skill</t>
  </si>
  <si>
    <t>T110E5</t>
  </si>
  <si>
    <t>CGDL</t>
  </si>
  <si>
    <t>Clutch Braking</t>
  </si>
  <si>
    <t>Off-Road Driving</t>
  </si>
  <si>
    <t>Engineering</t>
  </si>
  <si>
    <t>Smooth Ride</t>
  </si>
  <si>
    <t>Smooth Ride does not provide a boost for hull traverse dispersion</t>
  </si>
  <si>
    <t>M-V-Y</t>
  </si>
  <si>
    <t>Communications Expert</t>
  </si>
  <si>
    <t>Signal Interception</t>
  </si>
  <si>
    <t>Jamming</t>
  </si>
  <si>
    <t>4*</t>
  </si>
  <si>
    <t>Side by Side</t>
  </si>
  <si>
    <t>Side by Side is not compatible with Lone Wolf, but provides a boost for the situations</t>
  </si>
  <si>
    <t>Loader</t>
  </si>
  <si>
    <t>T57 Heavy</t>
  </si>
  <si>
    <t>Perfect Charge</t>
  </si>
  <si>
    <t>Second Chance</t>
  </si>
  <si>
    <t>Ammo Tuning</t>
  </si>
  <si>
    <t>Intuition</t>
  </si>
  <si>
    <t>Go with Intuition for lower reload guns where quick ammo swap is viable; Mag Mastery can work for BC over Second Chance</t>
  </si>
  <si>
    <t>M48 Patton</t>
  </si>
  <si>
    <t>Light Tanks</t>
  </si>
  <si>
    <t>6*</t>
  </si>
  <si>
    <t>Recon</t>
  </si>
  <si>
    <t>Emergency</t>
  </si>
  <si>
    <t>Coordination</t>
  </si>
  <si>
    <t>Repairs</t>
  </si>
  <si>
    <t>For EBR, Practicality might be better than repairs</t>
  </si>
  <si>
    <t>Designated Target</t>
  </si>
  <si>
    <t>Deadeye</t>
  </si>
  <si>
    <t>You might consider Point Blank for low penetration boost in close quarters</t>
  </si>
  <si>
    <t>You might consider Reliable Placement to minimize HE damage</t>
  </si>
  <si>
    <t>Tank</t>
  </si>
  <si>
    <t>Situational Awareness</t>
  </si>
  <si>
    <t>You might consider Threat Search for active scouting; Swap Jamming / Signal Interception based on active vs passive scouting</t>
  </si>
  <si>
    <t>Second Chance can be used for bush-clearing / Second Chance is less useful for autoloaders</t>
  </si>
  <si>
    <t>Tank Destroyers : Snipers</t>
  </si>
  <si>
    <t>XP</t>
  </si>
  <si>
    <t>Type</t>
  </si>
  <si>
    <t>Hope to spot folks more than taking damage</t>
  </si>
  <si>
    <t>XP to Max</t>
  </si>
  <si>
    <t>Tier</t>
  </si>
  <si>
    <t>Ares 90</t>
  </si>
  <si>
    <t>CGD</t>
  </si>
  <si>
    <t>XP to Next Tank</t>
  </si>
  <si>
    <t>Win</t>
  </si>
  <si>
    <t>You might consider Amorer over Concentration in some cases / Snap Shot makes no sense on Swedish TDs</t>
  </si>
  <si>
    <t>Survived</t>
  </si>
  <si>
    <t>Total XP</t>
  </si>
  <si>
    <t>Sheridan</t>
  </si>
  <si>
    <t>Credits</t>
  </si>
  <si>
    <t>Swap the Off-Road Driving and Clutch Braking based on frequency of changing to reverse play</t>
  </si>
  <si>
    <t>Progress</t>
  </si>
  <si>
    <t>Ammo</t>
  </si>
  <si>
    <t>Threat Search</t>
  </si>
  <si>
    <t>Use Jamming over Signal Interception so that you can leverage bush peaking better</t>
  </si>
  <si>
    <t>Consumables</t>
  </si>
  <si>
    <t>Duke is zero-skill commander in chaffee</t>
  </si>
  <si>
    <t>Net Credits</t>
  </si>
  <si>
    <t>GW E100</t>
  </si>
  <si>
    <t>ST-I</t>
  </si>
  <si>
    <t>Map</t>
  </si>
  <si>
    <t>Second Chance is useful for bush sniping</t>
  </si>
  <si>
    <t>Jg Pz E 100</t>
  </si>
  <si>
    <t>Duration</t>
  </si>
  <si>
    <t>Tank Destroyers : Brawlers</t>
  </si>
  <si>
    <t>Platoon</t>
  </si>
  <si>
    <t>Grille 15</t>
  </si>
  <si>
    <t>Reserves</t>
  </si>
  <si>
    <t>Prioritizing gun handling skills over scouting skills. Might run with Mentor over Recon until 6th skill maxed</t>
  </si>
  <si>
    <t>PzKpfw VII</t>
  </si>
  <si>
    <t>WOT Prem</t>
  </si>
  <si>
    <t>CGDRL</t>
  </si>
  <si>
    <t>Point Blank</t>
  </si>
  <si>
    <t>Armorer</t>
  </si>
  <si>
    <t>Might consider Quick Aiming in certain situations. Minimized even more for turretless tanks</t>
  </si>
  <si>
    <t>EBR 75 FL 10</t>
  </si>
  <si>
    <t>Maus</t>
  </si>
  <si>
    <t>Swap Clutch Braking and Smooth Ride based on turret vs turretless; Might consider Field Support over Engineering in some cases</t>
  </si>
  <si>
    <t>E 100</t>
  </si>
  <si>
    <t>LT</t>
  </si>
  <si>
    <t>Firefighting</t>
  </si>
  <si>
    <t>Firefighting makes more sense than Jamming because you can drop fire extinguisher for MOE push</t>
  </si>
  <si>
    <t>8</t>
  </si>
  <si>
    <t>Close Combat</t>
  </si>
  <si>
    <t>Mag Mastery is good for French TDs. Might consider Safe Stowage over Second Chance sometimes, maybe over Ammo Tuning</t>
  </si>
  <si>
    <t>Needs second loader</t>
  </si>
  <si>
    <t>Hugo Kern</t>
  </si>
  <si>
    <t>E50 M</t>
  </si>
  <si>
    <t>Heavy Tanks : Brawlers</t>
  </si>
  <si>
    <t>Leopard 1</t>
  </si>
  <si>
    <t>3*</t>
  </si>
  <si>
    <t>Rhm Pzw</t>
  </si>
  <si>
    <t>Obj. 261</t>
  </si>
  <si>
    <t>Obj. 268/4</t>
  </si>
  <si>
    <t>Sound Detection</t>
  </si>
  <si>
    <t>Obj. 268</t>
  </si>
  <si>
    <t>Malinovka</t>
  </si>
  <si>
    <t>Obj. 277</t>
  </si>
  <si>
    <t>6:00</t>
  </si>
  <si>
    <t>IS-3 II</t>
  </si>
  <si>
    <t>IS-7</t>
  </si>
  <si>
    <t>Reliable Placement</t>
  </si>
  <si>
    <t>Controlled Impact</t>
  </si>
  <si>
    <t>Obj. 705A</t>
  </si>
  <si>
    <t>Field Support</t>
  </si>
  <si>
    <t>Bulletproof</t>
  </si>
  <si>
    <t>IS-4</t>
  </si>
  <si>
    <t>Battle Tempered</t>
  </si>
  <si>
    <t>ST-II</t>
  </si>
  <si>
    <t>Adrenaline Rush</t>
  </si>
  <si>
    <t>Safe Stowage</t>
  </si>
  <si>
    <t>Obj. 430U</t>
  </si>
  <si>
    <t>Mag Mastery</t>
  </si>
  <si>
    <t>Obj. 140</t>
  </si>
  <si>
    <t>Heavy Tanks : Ridgeliners</t>
  </si>
  <si>
    <t>Heavy Tanks : HP Mediums</t>
  </si>
  <si>
    <t>K-91</t>
  </si>
  <si>
    <t>Heavy Tanks : Ambush</t>
  </si>
  <si>
    <t>Medium Tanks : Brawlers</t>
  </si>
  <si>
    <t>B-C 155 55</t>
  </si>
  <si>
    <t>Medium Tanks : Ridgeliners</t>
  </si>
  <si>
    <t>ELC EVEN 90</t>
  </si>
  <si>
    <t>T-100 LT</t>
  </si>
  <si>
    <t>Medium Tanks : Snipers</t>
  </si>
  <si>
    <t>6**</t>
  </si>
  <si>
    <t>Medium Tanks : Ambush</t>
  </si>
  <si>
    <t>Conqueror GC</t>
  </si>
  <si>
    <t>CGGDLL</t>
  </si>
  <si>
    <t>2*</t>
  </si>
  <si>
    <t>El Halluf</t>
  </si>
  <si>
    <t>AMX 13 90</t>
  </si>
  <si>
    <t>2:45</t>
  </si>
  <si>
    <t>FV4005</t>
  </si>
  <si>
    <t>Badger</t>
  </si>
  <si>
    <t>S. Conqueror</t>
  </si>
  <si>
    <t>Canopener</t>
  </si>
  <si>
    <t>Centurion AX</t>
  </si>
  <si>
    <t>Centurion 5/1</t>
  </si>
  <si>
    <t>TNH T Vz. 51</t>
  </si>
  <si>
    <t>MT</t>
  </si>
  <si>
    <t>Concept 5</t>
  </si>
  <si>
    <t>10/9/8</t>
  </si>
  <si>
    <t>Manticore</t>
  </si>
  <si>
    <t>CD</t>
  </si>
  <si>
    <t>B-C 155 58</t>
  </si>
  <si>
    <t>Foch B</t>
  </si>
  <si>
    <t>AMX 50 B</t>
  </si>
  <si>
    <t>CGDR</t>
  </si>
  <si>
    <t>Type 57</t>
  </si>
  <si>
    <t>Pilsen</t>
  </si>
  <si>
    <t>AMX M4 54</t>
  </si>
  <si>
    <t>7:00</t>
  </si>
  <si>
    <t>B-C 25 t</t>
  </si>
  <si>
    <t>AMX 13 105</t>
  </si>
  <si>
    <t>EBR 105</t>
  </si>
  <si>
    <t>Ho-Ri 2</t>
  </si>
  <si>
    <t>TL-1 LPC</t>
  </si>
  <si>
    <t>Vz. 55</t>
  </si>
  <si>
    <t>Fisherman's Bay</t>
  </si>
  <si>
    <t>4:30</t>
  </si>
  <si>
    <t>TVP T 50/51</t>
  </si>
  <si>
    <t>CS-59</t>
  </si>
  <si>
    <t>Tesak</t>
  </si>
  <si>
    <t>Ho-Ri 3</t>
  </si>
  <si>
    <t>AMBT</t>
  </si>
  <si>
    <t>Type 71</t>
  </si>
  <si>
    <t>Gonkiewicza</t>
  </si>
  <si>
    <t>Type 5 H</t>
  </si>
  <si>
    <t>9/8/7</t>
  </si>
  <si>
    <t>STB-1</t>
  </si>
  <si>
    <t>Normandy</t>
  </si>
  <si>
    <t>Total</t>
  </si>
  <si>
    <t>WZ-113G FT</t>
  </si>
  <si>
    <t>5:00</t>
  </si>
  <si>
    <t>BZ-75</t>
  </si>
  <si>
    <t>Full Zero-Perk Crew Available in Onslaught</t>
  </si>
  <si>
    <t>WZ-111 5A</t>
  </si>
  <si>
    <t>WZ-132-1</t>
  </si>
  <si>
    <t>Progetto 46</t>
  </si>
  <si>
    <t>Blyskawica</t>
  </si>
  <si>
    <t>60TP</t>
  </si>
  <si>
    <t>CS-63</t>
  </si>
  <si>
    <t>Strv 103B</t>
  </si>
  <si>
    <t>CDR</t>
  </si>
  <si>
    <t>Erlenburg</t>
  </si>
  <si>
    <t>5:40</t>
  </si>
  <si>
    <t>Kranvagn</t>
  </si>
  <si>
    <t>UDES 15/16</t>
  </si>
  <si>
    <t>Lorr. 40 t</t>
  </si>
  <si>
    <t>Minotauro</t>
  </si>
  <si>
    <t>6:45</t>
  </si>
  <si>
    <t>Rinoceronte</t>
  </si>
  <si>
    <t>Progetto 65</t>
  </si>
  <si>
    <t>Recruits</t>
  </si>
  <si>
    <t>Books</t>
  </si>
  <si>
    <t>Booklet</t>
  </si>
  <si>
    <t>Guide</t>
  </si>
  <si>
    <t>Manual</t>
  </si>
  <si>
    <t>Crew XP Total</t>
  </si>
  <si>
    <t>Zero Skill Commanders</t>
  </si>
  <si>
    <t>USA</t>
  </si>
  <si>
    <t>9/8</t>
  </si>
  <si>
    <t>Zero Skill Crew</t>
  </si>
  <si>
    <t>Germany</t>
  </si>
  <si>
    <t>Pending Zero Skill Crew</t>
  </si>
  <si>
    <t>USSR</t>
  </si>
  <si>
    <t>Boosted Crew</t>
  </si>
  <si>
    <t>UK</t>
  </si>
  <si>
    <t>Empty Novelty Crew</t>
  </si>
  <si>
    <t>France</t>
  </si>
  <si>
    <t>9:20</t>
  </si>
  <si>
    <t>Czecholslovakia</t>
  </si>
  <si>
    <t>Mentoring License</t>
  </si>
  <si>
    <t>Japan</t>
  </si>
  <si>
    <t>China</t>
  </si>
  <si>
    <t>Poland</t>
  </si>
  <si>
    <t>Sweden</t>
  </si>
  <si>
    <t>Bourrasque</t>
  </si>
  <si>
    <t>Italy</t>
  </si>
  <si>
    <t>Universal</t>
  </si>
  <si>
    <t>Personal</t>
  </si>
  <si>
    <t>Crew Skill #</t>
  </si>
  <si>
    <t>XP for Zero Skill</t>
  </si>
  <si>
    <t>XP Cumulative</t>
  </si>
  <si>
    <t>XP Cumulative for Zero Skill</t>
  </si>
  <si>
    <t>Abbey</t>
  </si>
  <si>
    <t>4:40</t>
  </si>
  <si>
    <t>Regular</t>
  </si>
  <si>
    <t>Bounty</t>
  </si>
  <si>
    <t>Tier V</t>
  </si>
  <si>
    <t>Improved</t>
  </si>
  <si>
    <t>Tier VI</t>
  </si>
  <si>
    <t>Tier VII</t>
  </si>
  <si>
    <t>Experimental</t>
  </si>
  <si>
    <t>Tier VIII</t>
  </si>
  <si>
    <t>Turbocharger</t>
  </si>
  <si>
    <t>Tier IX</t>
  </si>
  <si>
    <t>Tier X</t>
  </si>
  <si>
    <t>Improved Compressor</t>
  </si>
  <si>
    <t>Gun Rammer</t>
  </si>
  <si>
    <t>Rammer</t>
  </si>
  <si>
    <t>Innovative Loading System</t>
  </si>
  <si>
    <t>Enhanced Gun Laying Drive</t>
  </si>
  <si>
    <t>Gun Laying Drive</t>
  </si>
  <si>
    <t>Wear-Resistant Laying Drive</t>
  </si>
  <si>
    <t>Improved Ventilation</t>
  </si>
  <si>
    <t>Ventilation</t>
  </si>
  <si>
    <t>Venting System</t>
  </si>
  <si>
    <t>Coated Optics</t>
  </si>
  <si>
    <t>Optics</t>
  </si>
  <si>
    <t>Experimental Optics</t>
  </si>
  <si>
    <t>Vertical Stabilizer</t>
  </si>
  <si>
    <t>Stabilizer</t>
  </si>
  <si>
    <t>Stabilizing Equipment System</t>
  </si>
  <si>
    <t>Modified Configuration</t>
  </si>
  <si>
    <t>Protection Technology</t>
  </si>
  <si>
    <t>Improved Configuration</t>
  </si>
  <si>
    <t>Improved Rotation Mechanism</t>
  </si>
  <si>
    <t>Rotation Mechanism</t>
  </si>
  <si>
    <t>Improved Final Drive</t>
  </si>
  <si>
    <t>Improved Aiming</t>
  </si>
  <si>
    <t>Aiming</t>
  </si>
  <si>
    <t>Innovative Aiming</t>
  </si>
  <si>
    <t>Low Noise Exhaust System</t>
  </si>
  <si>
    <t>Exhaust</t>
  </si>
  <si>
    <t>Stealth Exhaust Unit</t>
  </si>
  <si>
    <t>Improved Hardening</t>
  </si>
  <si>
    <t>Hardening</t>
  </si>
  <si>
    <t>Increased Shell Resistance</t>
  </si>
  <si>
    <t>Camouflage Net</t>
  </si>
  <si>
    <t>Tactical Concealment Net</t>
  </si>
  <si>
    <t>Binocular Telescope</t>
  </si>
  <si>
    <t>Telescopic Observation System</t>
  </si>
  <si>
    <t>Improved Radio Set</t>
  </si>
  <si>
    <t>Comander's Vision System</t>
  </si>
  <si>
    <t>Battle Pass Crews</t>
  </si>
  <si>
    <t>Spall Liner</t>
  </si>
  <si>
    <t>Siegfried Line</t>
  </si>
  <si>
    <t>Name</t>
  </si>
  <si>
    <t>Arty</t>
  </si>
  <si>
    <t>GLD; RM; Rammer</t>
  </si>
  <si>
    <t>Nation</t>
  </si>
  <si>
    <t>Owned</t>
  </si>
  <si>
    <t>Season</t>
  </si>
  <si>
    <t>Additional Grousers</t>
  </si>
  <si>
    <t>7:30</t>
  </si>
  <si>
    <t>Male/Female</t>
  </si>
  <si>
    <t>HT</t>
  </si>
  <si>
    <t>HP; Turbo; Rammer</t>
  </si>
  <si>
    <t>Obj 261</t>
  </si>
  <si>
    <t>HT : Alt</t>
  </si>
  <si>
    <t>Eryk Wojciechowski</t>
  </si>
  <si>
    <t>HP; Stab; Rammer</t>
  </si>
  <si>
    <t>CVS; Optics; Exhaust</t>
  </si>
  <si>
    <t>Pierre Leclerc</t>
  </si>
  <si>
    <t>Lie Wei Zhang</t>
  </si>
  <si>
    <t>Obj 268</t>
  </si>
  <si>
    <t>Jack Hawke</t>
  </si>
  <si>
    <t>US</t>
  </si>
  <si>
    <t>Obj 705a</t>
  </si>
  <si>
    <t>Otto Faber</t>
  </si>
  <si>
    <t>Daniel Zima</t>
  </si>
  <si>
    <t>Czech</t>
  </si>
  <si>
    <t>Harry Bunyan</t>
  </si>
  <si>
    <t>Garage</t>
  </si>
  <si>
    <t>Special</t>
  </si>
  <si>
    <t>M</t>
  </si>
  <si>
    <t>Joel Rochefort</t>
  </si>
  <si>
    <t>Obj 430u</t>
  </si>
  <si>
    <t>Edmund Hart</t>
  </si>
  <si>
    <t>Oskar Schonefeld</t>
  </si>
  <si>
    <t>Sergei Tokarev</t>
  </si>
  <si>
    <t>Anton Mekhanin</t>
  </si>
  <si>
    <t>Lucien Acier</t>
  </si>
  <si>
    <t>Cassie Riggs</t>
  </si>
  <si>
    <t>?</t>
  </si>
  <si>
    <t>F</t>
  </si>
  <si>
    <t>Angus Buchanan</t>
  </si>
  <si>
    <t>Matthew Kennedy</t>
  </si>
  <si>
    <t>BC 155 58</t>
  </si>
  <si>
    <t>Wei Jian</t>
  </si>
  <si>
    <t>Alessia Colombo</t>
  </si>
  <si>
    <t>Tomasz Wojnowski</t>
  </si>
  <si>
    <t>Wataru Nakamura</t>
  </si>
  <si>
    <t>Safe Haven</t>
  </si>
  <si>
    <t>B-C 25t</t>
  </si>
  <si>
    <t>Konrad Hirsch</t>
  </si>
  <si>
    <t>Angelique Diagne</t>
  </si>
  <si>
    <t>Tommy Parker</t>
  </si>
  <si>
    <t>Vz 55</t>
  </si>
  <si>
    <t>Marion Schurmer</t>
  </si>
  <si>
    <t>Andrey Bushmakin</t>
  </si>
  <si>
    <t>Xing Chai</t>
  </si>
  <si>
    <t>Arthur "Squire" Connolly</t>
  </si>
  <si>
    <t>Jack "Ace" Murphy</t>
  </si>
  <si>
    <t>Louis "Loup" Dubois</t>
  </si>
  <si>
    <t>Roman Wasilewski</t>
  </si>
  <si>
    <t>Wotan Focht</t>
  </si>
  <si>
    <t>Mariya Lastochkina</t>
  </si>
  <si>
    <t>Larry Stone</t>
  </si>
  <si>
    <t>Hope</t>
  </si>
  <si>
    <t>Ian Harman</t>
  </si>
  <si>
    <t>Japan Weird</t>
  </si>
  <si>
    <t>Live Oaks</t>
  </si>
  <si>
    <t>4:45</t>
  </si>
  <si>
    <t>Colette Bugeaud</t>
  </si>
  <si>
    <t>France Weird</t>
  </si>
  <si>
    <t>Stefan Adaskevic</t>
  </si>
  <si>
    <t>US Weird</t>
  </si>
  <si>
    <t>Katherine Sanders</t>
  </si>
  <si>
    <t>US / UK</t>
  </si>
  <si>
    <t>Sandro Mancini</t>
  </si>
  <si>
    <t>Emil Kittel</t>
  </si>
  <si>
    <t>Rebecca Holmberg</t>
  </si>
  <si>
    <t>Gisele Ardane</t>
  </si>
  <si>
    <t>Marco Ingannamorte</t>
  </si>
  <si>
    <t>Jozef Matijewski</t>
  </si>
  <si>
    <t>Isabelle Norette</t>
  </si>
  <si>
    <t>April O'Real</t>
  </si>
  <si>
    <t>Benjamin Willard</t>
  </si>
  <si>
    <t>Marie Fredriksson</t>
  </si>
  <si>
    <t>Siegfried Hammel</t>
  </si>
  <si>
    <t>Total Available</t>
  </si>
  <si>
    <t>Aleksey Sokolovskiy</t>
  </si>
  <si>
    <t>Poland / USSR</t>
  </si>
  <si>
    <t>Christophe Lemartin</t>
  </si>
  <si>
    <t>Louise Hamilton</t>
  </si>
  <si>
    <t>Tundra</t>
  </si>
  <si>
    <t>Andrey Pokrovskiy</t>
  </si>
  <si>
    <t>5:30</t>
  </si>
  <si>
    <t>Total Grinding</t>
  </si>
  <si>
    <t>Jean-Marc Lemartin</t>
  </si>
  <si>
    <t>Katarzyna Chodkiewicz</t>
  </si>
  <si>
    <t>Douglas McReed</t>
  </si>
  <si>
    <t>Total Non-Chinese Grinding</t>
  </si>
  <si>
    <t>Vasiliy Badaev</t>
  </si>
  <si>
    <t>Shan Ling</t>
  </si>
  <si>
    <t>Total Grinding Available</t>
  </si>
  <si>
    <t>George Barton</t>
  </si>
  <si>
    <t>Total X Available</t>
  </si>
  <si>
    <t>Bisonte C45</t>
  </si>
  <si>
    <t>Total Xs</t>
  </si>
  <si>
    <t>Tank Price</t>
  </si>
  <si>
    <t>Other</t>
  </si>
  <si>
    <t>Empire's Border</t>
  </si>
  <si>
    <t>6:30</t>
  </si>
  <si>
    <t>Vacant Slots</t>
  </si>
  <si>
    <t>Needed</t>
  </si>
  <si>
    <t>T92</t>
  </si>
  <si>
    <t>2:30</t>
  </si>
  <si>
    <t>Steppes</t>
  </si>
  <si>
    <t>Total X Modules</t>
  </si>
  <si>
    <t>Chinese</t>
  </si>
  <si>
    <t>Pearl River</t>
  </si>
  <si>
    <t>1:00</t>
  </si>
  <si>
    <t>4:00</t>
  </si>
  <si>
    <t>Highway</t>
  </si>
  <si>
    <t>Tier X XP Totals</t>
  </si>
  <si>
    <t>Fjords</t>
  </si>
  <si>
    <t>Ruinberg</t>
  </si>
  <si>
    <t>3:00</t>
  </si>
  <si>
    <t>South</t>
  </si>
  <si>
    <t>H1</t>
  </si>
  <si>
    <t>Good shots on corner and fair map spread.</t>
  </si>
  <si>
    <t>K2/3</t>
  </si>
  <si>
    <t>Fair shots at hull-down warehouse mounds, mediocre shots elsewhere</t>
  </si>
  <si>
    <t>Erlenberg</t>
  </si>
  <si>
    <t>K5/6</t>
  </si>
  <si>
    <t>Lorr</t>
  </si>
  <si>
    <t>Good shots on both castle corners</t>
  </si>
  <si>
    <t>International</t>
  </si>
  <si>
    <t>8:00</t>
  </si>
  <si>
    <t>3:30</t>
  </si>
  <si>
    <t>Campaign</t>
  </si>
  <si>
    <t>Mission ID</t>
  </si>
  <si>
    <t>Tank Class</t>
  </si>
  <si>
    <t>Rating</t>
  </si>
  <si>
    <t>Primary Condition</t>
  </si>
  <si>
    <t>Honors Condition</t>
  </si>
  <si>
    <t>Objective</t>
  </si>
  <si>
    <t>Mode</t>
  </si>
  <si>
    <t>Profit</t>
  </si>
  <si>
    <t>Completion</t>
  </si>
  <si>
    <t>Rank</t>
  </si>
  <si>
    <t>Specific?</t>
  </si>
  <si>
    <t>Booster %</t>
  </si>
  <si>
    <t>Platoon?</t>
  </si>
  <si>
    <t>Total so Far</t>
  </si>
  <si>
    <t>Tank Recommendation / Strategy</t>
  </si>
  <si>
    <t>Extra</t>
  </si>
  <si>
    <t>T 55A</t>
  </si>
  <si>
    <t>Monday</t>
  </si>
  <si>
    <t>*</t>
  </si>
  <si>
    <t>LT-8</t>
  </si>
  <si>
    <t>Defense</t>
  </si>
  <si>
    <t>***</t>
  </si>
  <si>
    <t>Fata Morgana</t>
  </si>
  <si>
    <t>21:30</t>
  </si>
  <si>
    <t>LT-432</t>
  </si>
  <si>
    <t>40 Cap Points</t>
  </si>
  <si>
    <t>2 Kills</t>
  </si>
  <si>
    <t>General</t>
  </si>
  <si>
    <t>Completed</t>
  </si>
  <si>
    <t>Games</t>
  </si>
  <si>
    <t>RU 251</t>
  </si>
  <si>
    <t>Attack</t>
  </si>
  <si>
    <t>Kraftwerk</t>
  </si>
  <si>
    <t>Average</t>
  </si>
  <si>
    <t>Berlin</t>
  </si>
  <si>
    <t>26:00</t>
  </si>
  <si>
    <t>16:00</t>
  </si>
  <si>
    <t>Captain</t>
  </si>
  <si>
    <t>Longest Streak</t>
  </si>
  <si>
    <t>21:00</t>
  </si>
  <si>
    <t>14:00</t>
  </si>
  <si>
    <t>Major</t>
  </si>
  <si>
    <t>Season 16</t>
  </si>
  <si>
    <t>25:15</t>
  </si>
  <si>
    <t>3500 Free XP</t>
  </si>
  <si>
    <t>17:40</t>
  </si>
  <si>
    <t>Airfield</t>
  </si>
  <si>
    <t>75 Components</t>
  </si>
  <si>
    <t>100000 Credits</t>
  </si>
  <si>
    <t>20:00</t>
  </si>
  <si>
    <t>200 Components</t>
  </si>
  <si>
    <t>25:00</t>
  </si>
  <si>
    <t>Tuesday</t>
  </si>
  <si>
    <t>500000 Credits</t>
  </si>
  <si>
    <t>27:00</t>
  </si>
  <si>
    <t>7000 Free XP</t>
  </si>
  <si>
    <t>23:40</t>
  </si>
  <si>
    <t>250000 Credits</t>
  </si>
  <si>
    <t>27:30</t>
  </si>
  <si>
    <t>LT-15</t>
  </si>
  <si>
    <t>22:00</t>
  </si>
  <si>
    <t>*****</t>
  </si>
  <si>
    <t>7,000 Total Dmg</t>
  </si>
  <si>
    <t>4 Kill Assists &amp; Win</t>
  </si>
  <si>
    <t>Normandie</t>
  </si>
  <si>
    <t>Wednesday</t>
  </si>
  <si>
    <t>AVR FS</t>
  </si>
  <si>
    <t>Season 17</t>
  </si>
  <si>
    <t>5x Campaign Order</t>
  </si>
  <si>
    <t>500 Components</t>
  </si>
  <si>
    <t>Components</t>
  </si>
  <si>
    <t>Free XP</t>
  </si>
  <si>
    <t>15000 Free XP</t>
  </si>
  <si>
    <t>17:30</t>
  </si>
  <si>
    <t>19:30</t>
  </si>
  <si>
    <t>23:00</t>
  </si>
  <si>
    <t>26:40</t>
  </si>
  <si>
    <t>Thursday</t>
  </si>
  <si>
    <t>HT-12</t>
  </si>
  <si>
    <t>3x Block &amp; 2,000 Dmg</t>
  </si>
  <si>
    <t>25:40</t>
  </si>
  <si>
    <t>Win &amp; Survive</t>
  </si>
  <si>
    <t>Season 19</t>
  </si>
  <si>
    <t>26:30</t>
  </si>
  <si>
    <t>2:30:00 AM</t>
  </si>
  <si>
    <t>Honors</t>
  </si>
  <si>
    <t>15:40</t>
  </si>
  <si>
    <t>VK 100.01 P</t>
  </si>
  <si>
    <t>23:30</t>
  </si>
  <si>
    <t>1x Campaign Order</t>
  </si>
  <si>
    <t>18:00</t>
  </si>
  <si>
    <t>Friday</t>
  </si>
  <si>
    <t>Studzianki</t>
  </si>
  <si>
    <t>7:30:00 AM</t>
  </si>
  <si>
    <t>HT-15</t>
  </si>
  <si>
    <t>12,000 Dmg + Blocked + Received</t>
  </si>
  <si>
    <t>25% of Team Dmg &amp; Win</t>
  </si>
  <si>
    <t>4:30:00 AM</t>
  </si>
  <si>
    <t>T10</t>
  </si>
  <si>
    <t>28:33</t>
  </si>
  <si>
    <t>4</t>
  </si>
  <si>
    <t>22:26</t>
  </si>
  <si>
    <t>20:30</t>
  </si>
  <si>
    <t>25:30</t>
  </si>
  <si>
    <t>Lakeville</t>
  </si>
  <si>
    <t>18:30</t>
  </si>
  <si>
    <t>3:00:00 AM</t>
  </si>
  <si>
    <t>Lieutenant</t>
  </si>
  <si>
    <t>TD-15</t>
  </si>
  <si>
    <t>TD</t>
  </si>
  <si>
    <t>****</t>
  </si>
  <si>
    <t>6,000 Dmg</t>
  </si>
  <si>
    <t>5 Kills &amp; Win</t>
  </si>
  <si>
    <t>17:00</t>
  </si>
  <si>
    <t>22:45</t>
  </si>
  <si>
    <t>23:45</t>
  </si>
  <si>
    <t>Westfield</t>
  </si>
  <si>
    <t>SPG-15</t>
  </si>
  <si>
    <t>SPG</t>
  </si>
  <si>
    <t>Top Player by XP &amp; 2,100 Assist</t>
  </si>
  <si>
    <t>2,700 Dmg &amp; Win</t>
  </si>
  <si>
    <t>T9</t>
  </si>
  <si>
    <t>Karelia</t>
  </si>
  <si>
    <t>22:13</t>
  </si>
  <si>
    <t>24:28</t>
  </si>
  <si>
    <t>Object 260</t>
  </si>
  <si>
    <t>LT-3</t>
  </si>
  <si>
    <t>20:24</t>
  </si>
  <si>
    <t>Dmg 6 times &amp; Spot 6 Tanks</t>
  </si>
  <si>
    <t>21:24</t>
  </si>
  <si>
    <t>4 Kills</t>
  </si>
  <si>
    <t>24:30</t>
  </si>
  <si>
    <t>13:30</t>
  </si>
  <si>
    <t>MT-4</t>
  </si>
  <si>
    <t>Track 4 Tanks &amp; Dmg 4 Tracked Tanks</t>
  </si>
  <si>
    <t>3 Tracked Kills &amp; Win</t>
  </si>
  <si>
    <t>Premium/Random</t>
  </si>
  <si>
    <t>19:00</t>
  </si>
  <si>
    <t>12:00</t>
  </si>
  <si>
    <t>Sergeant</t>
  </si>
  <si>
    <t>Time</t>
  </si>
  <si>
    <t>Place</t>
  </si>
  <si>
    <t>Finish</t>
  </si>
  <si>
    <t>Reward</t>
  </si>
  <si>
    <t>16th</t>
  </si>
  <si>
    <t>500 Free XP</t>
  </si>
  <si>
    <t>Leopard</t>
  </si>
  <si>
    <t>8th</t>
  </si>
  <si>
    <t>Free/Crew Booster</t>
  </si>
  <si>
    <t>Luchs</t>
  </si>
  <si>
    <t>1st</t>
  </si>
  <si>
    <t>25 Components</t>
  </si>
  <si>
    <t>9th</t>
  </si>
  <si>
    <t>25,000 Credits</t>
  </si>
  <si>
    <t>13th</t>
  </si>
  <si>
    <t>10th</t>
  </si>
  <si>
    <t>MT-14</t>
  </si>
  <si>
    <t>50,000 Credits</t>
  </si>
  <si>
    <t>3rd</t>
  </si>
  <si>
    <t>5th</t>
  </si>
  <si>
    <t>4th</t>
  </si>
  <si>
    <t>6 Kills</t>
  </si>
  <si>
    <t>4,000 Dmg</t>
  </si>
  <si>
    <t>18th</t>
  </si>
  <si>
    <t>14:30</t>
  </si>
  <si>
    <t>6th</t>
  </si>
  <si>
    <t>24:45</t>
  </si>
  <si>
    <t>15:00</t>
  </si>
  <si>
    <t>Saturday</t>
  </si>
  <si>
    <t>26:20</t>
  </si>
  <si>
    <t>MT-15</t>
  </si>
  <si>
    <t>3,500 Dmg to TDs</t>
  </si>
  <si>
    <t>Dmg 8 Tanks &amp; Win</t>
  </si>
  <si>
    <t>HT-3</t>
  </si>
  <si>
    <t>6 Kills of 3 Types</t>
  </si>
  <si>
    <t>Date</t>
  </si>
  <si>
    <t>Damage</t>
  </si>
  <si>
    <t>Currency</t>
  </si>
  <si>
    <t>x2</t>
  </si>
  <si>
    <t>Mission</t>
  </si>
  <si>
    <t>Item</t>
  </si>
  <si>
    <t>Price</t>
  </si>
  <si>
    <t>Limit</t>
  </si>
  <si>
    <t>Raven</t>
  </si>
  <si>
    <t>Progression Stage 1</t>
  </si>
  <si>
    <t>Emerald Chest</t>
  </si>
  <si>
    <t>Limited Store Total</t>
  </si>
  <si>
    <t>Walkure</t>
  </si>
  <si>
    <t>Progression Stage 2</t>
  </si>
  <si>
    <t>Personal Training Manual</t>
  </si>
  <si>
    <t>HT-4</t>
  </si>
  <si>
    <t>Varyag</t>
  </si>
  <si>
    <t>6 Critical Hits</t>
  </si>
  <si>
    <t>Progression Stage 3</t>
  </si>
  <si>
    <t>5 Kills</t>
  </si>
  <si>
    <t>200,000 Credits</t>
  </si>
  <si>
    <t>Harbinger</t>
  </si>
  <si>
    <t>Progression Stage 4</t>
  </si>
  <si>
    <t>200 Bonds</t>
  </si>
  <si>
    <t>Arlequin</t>
  </si>
  <si>
    <t>Top 7 by XP 3x</t>
  </si>
  <si>
    <t>5,000 Free XP</t>
  </si>
  <si>
    <t>Bai Lang</t>
  </si>
  <si>
    <t>Progression Stage 5</t>
  </si>
  <si>
    <t>Set of Personal Reserves</t>
  </si>
  <si>
    <t>Huragan</t>
  </si>
  <si>
    <t>Progression Stage 6</t>
  </si>
  <si>
    <t>1 Day of Premium</t>
  </si>
  <si>
    <t>Beowulf</t>
  </si>
  <si>
    <t>Progression Stage 7</t>
  </si>
  <si>
    <t>3 Missions for x5 XP</t>
  </si>
  <si>
    <t>Progression Stage 8</t>
  </si>
  <si>
    <t>HT-5</t>
  </si>
  <si>
    <t>Progression Stage 9</t>
  </si>
  <si>
    <t>4,000 Dmg within VR</t>
  </si>
  <si>
    <t xml:space="preserve"> </t>
  </si>
  <si>
    <t>HT-8</t>
  </si>
  <si>
    <t>3,000 Dmg to HTs</t>
  </si>
  <si>
    <t>3x Block &amp; 3,000 Dmg</t>
  </si>
  <si>
    <t>14,000 Dmg + Blocked + Received</t>
  </si>
  <si>
    <t>Blocking</t>
  </si>
  <si>
    <t>Primary</t>
  </si>
  <si>
    <t>TD-2</t>
  </si>
  <si>
    <t>3 Critical Hits &amp; 5,000 Dmg</t>
  </si>
  <si>
    <t>Survive</t>
  </si>
  <si>
    <t>Critical Hits</t>
  </si>
  <si>
    <t>WZ-111G FT</t>
  </si>
  <si>
    <t>TD-6</t>
  </si>
  <si>
    <t>3,000 Dmg 250m+</t>
  </si>
  <si>
    <t>TD-8</t>
  </si>
  <si>
    <t>5x HP Dmg</t>
  </si>
  <si>
    <t>TD-10</t>
  </si>
  <si>
    <t>4,000 Dmg Unspotted</t>
  </si>
  <si>
    <t>8,000 Dmg</t>
  </si>
  <si>
    <t>6 Kills &amp; Win</t>
  </si>
  <si>
    <t>Carrier</t>
  </si>
  <si>
    <t>Defender</t>
  </si>
  <si>
    <t>Assault</t>
  </si>
  <si>
    <t>SPG-2</t>
  </si>
  <si>
    <t>160s Stun</t>
  </si>
  <si>
    <t>SPG-8</t>
  </si>
  <si>
    <t>Top Player by XP</t>
  </si>
  <si>
    <t>Top Player by XP &amp; 2,900 Assist</t>
  </si>
  <si>
    <t>3,700 Dmg &amp; Win</t>
  </si>
  <si>
    <t>Tank Type</t>
  </si>
  <si>
    <t>Completion Needed</t>
  </si>
  <si>
    <t>Chimera</t>
  </si>
  <si>
    <t>USSR / CH</t>
  </si>
  <si>
    <t>Union-8</t>
  </si>
  <si>
    <t>5 Critical Hits</t>
  </si>
  <si>
    <t>3 Kills</t>
  </si>
  <si>
    <t>Union-15</t>
  </si>
  <si>
    <t>TD, HT</t>
  </si>
  <si>
    <t>10,000 Cause, Block, Receive</t>
  </si>
  <si>
    <t>20% of Team Dmg + Win</t>
  </si>
  <si>
    <t>Obj 268v4</t>
  </si>
  <si>
    <t>GE / JA</t>
  </si>
  <si>
    <t>Bloc-3</t>
  </si>
  <si>
    <t>3,000 Dmg inside VR</t>
  </si>
  <si>
    <t>Bloc-6</t>
  </si>
  <si>
    <t>LT, MT</t>
  </si>
  <si>
    <t>10 Pens, 500 Dmg, 2 Spots</t>
  </si>
  <si>
    <t>Bloc-8</t>
  </si>
  <si>
    <t>TD, HT, MT, LT</t>
  </si>
  <si>
    <t>Fire same tier or higher</t>
  </si>
  <si>
    <t>Top 3 by XP</t>
  </si>
  <si>
    <t>Bloc-9</t>
  </si>
  <si>
    <t>Block 2x HP of Vehicle + 2,500 Dmg</t>
  </si>
  <si>
    <t>Win + Survive</t>
  </si>
  <si>
    <t>Bloc-11</t>
  </si>
  <si>
    <t>Top Gun</t>
  </si>
  <si>
    <t>3,000 Dmg</t>
  </si>
  <si>
    <t>US / UK / PO</t>
  </si>
  <si>
    <t>Alliance-2</t>
  </si>
  <si>
    <t>Track 3 Tanks + 250 Assist</t>
  </si>
  <si>
    <t>2 Kill Assists</t>
  </si>
  <si>
    <t>XM 57</t>
  </si>
  <si>
    <t>Alliance-15</t>
  </si>
  <si>
    <t>6,500 Dmg</t>
  </si>
  <si>
    <t>5 Kills + Win</t>
  </si>
  <si>
    <t>T110E3 / T110E4</t>
  </si>
  <si>
    <t>Obj 279e</t>
  </si>
  <si>
    <t>Union-1</t>
  </si>
  <si>
    <t>5 Battle Avg 2,000 Assist</t>
  </si>
  <si>
    <t>5 Battle Avg 2,500 Assist</t>
  </si>
  <si>
    <t>Scouting</t>
  </si>
  <si>
    <t>Union-2</t>
  </si>
  <si>
    <t>3-Straight 2x HP of Vehicle</t>
  </si>
  <si>
    <t>3-Straight 3x HP of Vehicle</t>
  </si>
  <si>
    <t>212A</t>
  </si>
  <si>
    <t>Union-3</t>
  </si>
  <si>
    <t>TD, HT, MT, LT, SPG</t>
  </si>
  <si>
    <t>**</t>
  </si>
  <si>
    <t>15 Kills in 10 Battles</t>
  </si>
  <si>
    <t>20 Kills in 10 Battles</t>
  </si>
  <si>
    <t>Obj 430</t>
  </si>
  <si>
    <t>Union-4</t>
  </si>
  <si>
    <t>5 Battle Avg 8 Blocks &amp; 400 Block</t>
  </si>
  <si>
    <t>5 Battle Avg 12 Blocks &amp; 600 Block</t>
  </si>
  <si>
    <t>DZT 159 Targeting Blesk</t>
  </si>
  <si>
    <t>Union-5</t>
  </si>
  <si>
    <t>3-Straight Top 3 Dmg</t>
  </si>
  <si>
    <t>3-Straight #1 Dmg</t>
  </si>
  <si>
    <t>Obj 703 II</t>
  </si>
  <si>
    <t>Union-6</t>
  </si>
  <si>
    <t>3/7 #1 Kills</t>
  </si>
  <si>
    <t>4/7 #1 Kills</t>
  </si>
  <si>
    <t>Kills</t>
  </si>
  <si>
    <t>Union-7</t>
  </si>
  <si>
    <t>Skip Candidate</t>
  </si>
  <si>
    <t>3-Straight 3 Critical Hit Battles</t>
  </si>
  <si>
    <t>3-Straight 5 Critical Hit Battles</t>
  </si>
  <si>
    <t>7/10 Fire for Effect</t>
  </si>
  <si>
    <t>10/10 Fire for Effect</t>
  </si>
  <si>
    <t>Union-9</t>
  </si>
  <si>
    <t>2-Straight 3 Kills</t>
  </si>
  <si>
    <t>2-Straight 4 Kills</t>
  </si>
  <si>
    <t>Union-10</t>
  </si>
  <si>
    <t>Block 15,000 in 10 Battles</t>
  </si>
  <si>
    <t>Block 17,000 in 10 Battles</t>
  </si>
  <si>
    <t>Union-11</t>
  </si>
  <si>
    <t>LT, HT, MT</t>
  </si>
  <si>
    <t>10 Battle Avg 8 Pens &amp; 400 Dmg</t>
  </si>
  <si>
    <t>10 Battle Avg 12 Pens &amp; 600 Dmg</t>
  </si>
  <si>
    <t>Shots</t>
  </si>
  <si>
    <t>Union-12</t>
  </si>
  <si>
    <t>7 Kill Assists in 10 Battles</t>
  </si>
  <si>
    <t>10 Kill Assists in 10 Battles</t>
  </si>
  <si>
    <t>Union-13</t>
  </si>
  <si>
    <t>2/12 Top Gun</t>
  </si>
  <si>
    <t>3/12 Top Gun</t>
  </si>
  <si>
    <t>Union-14</t>
  </si>
  <si>
    <t>80 Stuns in 10 Battles</t>
  </si>
  <si>
    <t>90 Stuns in 10 Battles</t>
  </si>
  <si>
    <t>212A w/ small gun</t>
  </si>
  <si>
    <t>3/20 1st Class</t>
  </si>
  <si>
    <t>3/20 Ace Tanker</t>
  </si>
  <si>
    <t>Bloc-1</t>
  </si>
  <si>
    <t>3-Straight 3,500 Dmg</t>
  </si>
  <si>
    <t>3-Straight 4,000 Dmg</t>
  </si>
  <si>
    <t>Bloc-2</t>
  </si>
  <si>
    <t>4/10 Shellproof</t>
  </si>
  <si>
    <t>5/10 Shellproof</t>
  </si>
  <si>
    <t>VK 100.01P</t>
  </si>
  <si>
    <t>2/5 3 Kills</t>
  </si>
  <si>
    <t>2/5 4 Kills</t>
  </si>
  <si>
    <t>E65 Zwilling</t>
  </si>
  <si>
    <t>Bloc-4</t>
  </si>
  <si>
    <t>3-Straight 2 Kill Assists</t>
  </si>
  <si>
    <t>3-Straight 3 Kill Assists</t>
  </si>
  <si>
    <t>Ru 251</t>
  </si>
  <si>
    <t>Bloc-5</t>
  </si>
  <si>
    <t>10 Battle Avg 3,000 Dmg</t>
  </si>
  <si>
    <t>10 Battle Avg 3,500 Dmg</t>
  </si>
  <si>
    <t>2-Straight 3 Kills of 2 Types</t>
  </si>
  <si>
    <t>2-Straight 4 Kills of 2 Types</t>
  </si>
  <si>
    <t>Bloc-7</t>
  </si>
  <si>
    <t>3/9 #1 Kills</t>
  </si>
  <si>
    <t>4/9 #1 Kills</t>
  </si>
  <si>
    <t>3-Straight 7 Pens &amp; 350 Dmg</t>
  </si>
  <si>
    <t>3-Straight 12 Pens &amp; 600 Dmg</t>
  </si>
  <si>
    <t>15,000 Assist in 10 Battles</t>
  </si>
  <si>
    <t>17,000 Assist in 10 Battles</t>
  </si>
  <si>
    <t>Bloc-10</t>
  </si>
  <si>
    <t>4/20 High Caliber</t>
  </si>
  <si>
    <t>5/20 High Caliber</t>
  </si>
  <si>
    <t>3-Straight Dmg 4 Vehicles</t>
  </si>
  <si>
    <t>3-Straight Dmg 6 Vehicles</t>
  </si>
  <si>
    <t>GW Tiger</t>
  </si>
  <si>
    <t>Bloc-12</t>
  </si>
  <si>
    <t>3/7 #1 Block</t>
  </si>
  <si>
    <t>4/7 #1 Block</t>
  </si>
  <si>
    <t>Bloc-13</t>
  </si>
  <si>
    <t>10 Battle Avg 2 Kills</t>
  </si>
  <si>
    <t>10 Battle Avg 3 Kills</t>
  </si>
  <si>
    <t>Skorpion</t>
  </si>
  <si>
    <t>Bloc-14</t>
  </si>
  <si>
    <t>3/5 #1 Dmg</t>
  </si>
  <si>
    <t>5/5 #1 Dmg</t>
  </si>
  <si>
    <t>Bloc-15</t>
  </si>
  <si>
    <t>Alliance-1</t>
  </si>
  <si>
    <t>5/10 Fire for Effect</t>
  </si>
  <si>
    <t>XM57</t>
  </si>
  <si>
    <t>E3</t>
  </si>
  <si>
    <t>Alliance-3</t>
  </si>
  <si>
    <t>10 Battle Avg 2 Kill Assists</t>
  </si>
  <si>
    <t>10 Battle Avg 3 Kill Assists</t>
  </si>
  <si>
    <t>Alliance-4</t>
  </si>
  <si>
    <t>30,000 Dmg in 10 Battles</t>
  </si>
  <si>
    <t>35,000 Dmg in 10 Battles</t>
  </si>
  <si>
    <t>Alliance-5</t>
  </si>
  <si>
    <t>Stun 40 in 10 Battles</t>
  </si>
  <si>
    <t>Stun 50 in 10 Battles</t>
  </si>
  <si>
    <t>Stun</t>
  </si>
  <si>
    <t>M53/M55 w/ small gun</t>
  </si>
  <si>
    <t>Alliance-6</t>
  </si>
  <si>
    <t>2/7 Confederate</t>
  </si>
  <si>
    <t>3/7 Confederate</t>
  </si>
  <si>
    <t>Diff Hits</t>
  </si>
  <si>
    <t>M53/M55</t>
  </si>
  <si>
    <t>Alliance-7</t>
  </si>
  <si>
    <t>10 Battle Avg 2,000 Block</t>
  </si>
  <si>
    <t>10 Battle Avg 2,500 Block</t>
  </si>
  <si>
    <t>T95</t>
  </si>
  <si>
    <t>Alliance-8</t>
  </si>
  <si>
    <t>TD, HT, MT</t>
  </si>
  <si>
    <t>25 Critical Hits in 10 Battles</t>
  </si>
  <si>
    <t>30 Critical Hits in 10 Battles</t>
  </si>
  <si>
    <t>Alliance-9</t>
  </si>
  <si>
    <t>Stun for 1,300s in 10 Battles</t>
  </si>
  <si>
    <t>Stun for 1,500s in 10 Battles</t>
  </si>
  <si>
    <t>Alliance-10</t>
  </si>
  <si>
    <t>4/7 2x HP of Vehicle</t>
  </si>
  <si>
    <t>5/7 2x HP of Vehicle</t>
  </si>
  <si>
    <t>Alliance-11</t>
  </si>
  <si>
    <t>4/10 1,000 Stun Dmg</t>
  </si>
  <si>
    <t>4/10 1,300 Stun Dmg</t>
  </si>
  <si>
    <t>Alliance-12</t>
  </si>
  <si>
    <t>Alliance-13</t>
  </si>
  <si>
    <t>3-Straight Top 3 XP</t>
  </si>
  <si>
    <t>3-Straight #1 XP</t>
  </si>
  <si>
    <t>Renegade</t>
  </si>
  <si>
    <t>Alliance-14</t>
  </si>
  <si>
    <t>30 Dmg Vehicles in 7 Battles</t>
  </si>
  <si>
    <t>40 Dmg Vehicles in 7 Battles</t>
  </si>
  <si>
    <t>GSOR the Tank</t>
  </si>
  <si>
    <t>FR / CZ / SW / IT</t>
  </si>
  <si>
    <t>Coalition-1</t>
  </si>
  <si>
    <t>3/10 Fighter or Top Gun</t>
  </si>
  <si>
    <t>4/10 Fighter or Top Gun</t>
  </si>
  <si>
    <t>Coalition-2</t>
  </si>
  <si>
    <t>3-Straight 3,000 Dmg</t>
  </si>
  <si>
    <t>Coalition-3</t>
  </si>
  <si>
    <t>5 Battle Hero in 10 Battles</t>
  </si>
  <si>
    <t>7 Battle Hero in 10 Battles</t>
  </si>
  <si>
    <t>Progetto / Bourrasque</t>
  </si>
  <si>
    <t>Coalition-4</t>
  </si>
  <si>
    <t>Shp</t>
  </si>
  <si>
    <t>Coalition-5</t>
  </si>
  <si>
    <t>30 Blocks &amp; 1,500 Block in 10 Battles</t>
  </si>
  <si>
    <t>40 Blocks &amp; 2,000 Block in 10 Battles</t>
  </si>
  <si>
    <t>Bisonte C45 / Target Autocannons</t>
  </si>
  <si>
    <t>Coalition-6</t>
  </si>
  <si>
    <t>75 Pens &amp; 3,500 Dmg in 10 Battles</t>
  </si>
  <si>
    <t>90 Pens &amp; 4,500 Dmg in 10 Battles</t>
  </si>
  <si>
    <t>Selma / Tesak</t>
  </si>
  <si>
    <t>Coalition-7</t>
  </si>
  <si>
    <t>3-Straight 2 Kills of 2 Types</t>
  </si>
  <si>
    <t>3-Straight 3 Kills of 2 Types</t>
  </si>
  <si>
    <t>Coalition-8</t>
  </si>
  <si>
    <t>2/12 Patrol Duty</t>
  </si>
  <si>
    <t>3/12 Patrol Duty</t>
  </si>
  <si>
    <t>Coalition-9</t>
  </si>
  <si>
    <t>10 Battle Avg 4 Dmg Vehicle</t>
  </si>
  <si>
    <t>10 Battle Avg 5 Dmg Vehicle</t>
  </si>
  <si>
    <t>Coalition-10</t>
  </si>
  <si>
    <t>3-Straight 1,500 Assist</t>
  </si>
  <si>
    <t>3-Straight 1,700 Assist</t>
  </si>
  <si>
    <t>EBR</t>
  </si>
  <si>
    <t>Coalition-11</t>
  </si>
  <si>
    <t>B-C 25t AP</t>
  </si>
  <si>
    <t>Coalition-12</t>
  </si>
  <si>
    <t>Coalition-13</t>
  </si>
  <si>
    <t>3/7 2x HP of Vehicle</t>
  </si>
  <si>
    <t>Coalition-14</t>
  </si>
  <si>
    <t>4/5 #1 Dmg</t>
  </si>
  <si>
    <t>DBV 152</t>
  </si>
  <si>
    <t>Coalition-15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</si>
</sst>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/d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color rgb="FF434343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readingOrder="0"/>
    </xf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horizontal="left" readingOrder="0"/>
    </xf>
    <xf borderId="0" fillId="0" fontId="1" numFmtId="3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0" fontId="1" numFmtId="10" xfId="0" applyAlignment="1" applyFont="1" applyNumberFormat="1">
      <alignment shrinkToFit="0" vertical="center" wrapText="0"/>
    </xf>
    <xf borderId="0" fillId="4" fontId="3" numFmtId="0" xfId="0" applyAlignment="1" applyFill="1" applyFont="1">
      <alignment vertical="bottom"/>
    </xf>
    <xf borderId="0" fillId="9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9" fontId="1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center" wrapText="0"/>
    </xf>
    <xf borderId="0" fillId="5" fontId="1" numFmtId="0" xfId="0" applyFill="1" applyFont="1"/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6" fontId="1" numFmtId="3" xfId="0" applyAlignment="1" applyFill="1" applyFont="1" applyNumberFormat="1">
      <alignment readingOrder="0"/>
    </xf>
    <xf borderId="0" fillId="0" fontId="1" numFmtId="3" xfId="0" applyFont="1" applyNumberFormat="1"/>
    <xf borderId="0" fillId="0" fontId="1" numFmtId="3" xfId="0" applyFont="1" applyNumberFormat="1"/>
    <xf borderId="1" fillId="10" fontId="5" numFmtId="0" xfId="0" applyAlignment="1" applyBorder="1" applyFill="1" applyFont="1">
      <alignment horizontal="right" shrinkToFit="0" vertical="center" wrapText="0"/>
    </xf>
    <xf borderId="0" fillId="11" fontId="1" numFmtId="0" xfId="0" applyAlignment="1" applyFill="1" applyFont="1">
      <alignment readingOrder="0"/>
    </xf>
    <xf borderId="0" fillId="9" fontId="1" numFmtId="3" xfId="0" applyAlignment="1" applyFill="1" applyFont="1" applyNumberFormat="1">
      <alignment readingOrder="0"/>
    </xf>
    <xf borderId="0" fillId="3" fontId="1" numFmtId="3" xfId="0" applyFill="1" applyFont="1" applyNumberFormat="1"/>
    <xf borderId="0" fillId="3" fontId="1" numFmtId="0" xfId="0" applyFill="1" applyFont="1"/>
    <xf borderId="0" fillId="3" fontId="1" numFmtId="3" xfId="0" applyAlignment="1" applyFill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1" numFmtId="3" xfId="0" applyFill="1" applyFont="1" applyNumberFormat="1"/>
    <xf borderId="0" fillId="8" fontId="1" numFmtId="0" xfId="0" applyFill="1" applyFont="1"/>
    <xf borderId="0" fillId="8" fontId="1" numFmtId="3" xfId="0" applyAlignment="1" applyFill="1" applyFont="1" applyNumberFormat="1">
      <alignment readingOrder="0"/>
    </xf>
    <xf borderId="0" fillId="6" fontId="1" numFmtId="3" xfId="0" applyFill="1" applyFont="1" applyNumberFormat="1"/>
    <xf borderId="0" fillId="6" fontId="1" numFmtId="0" xfId="0" applyFill="1" applyFont="1"/>
    <xf borderId="0" fillId="0" fontId="1" numFmtId="49" xfId="0" applyAlignment="1" applyFont="1" applyNumberFormat="1">
      <alignment horizontal="right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/>
    </xf>
    <xf borderId="0" fillId="0" fontId="1" numFmtId="4" xfId="0" applyFont="1" applyNumberFormat="1"/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left" readingOrder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1" numFmtId="10" xfId="0" applyFont="1" applyNumberFormat="1"/>
    <xf borderId="0" fillId="12" fontId="1" numFmtId="0" xfId="0" applyFill="1" applyFont="1"/>
    <xf borderId="0" fillId="3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shrinkToFit="0" vertical="center" wrapText="0"/>
    </xf>
    <xf borderId="0" fillId="13" fontId="1" numFmtId="0" xfId="0" applyAlignment="1" applyFill="1" applyFont="1">
      <alignment readingOrder="0" shrinkToFit="0" vertical="center" wrapText="0"/>
    </xf>
    <xf borderId="0" fillId="13" fontId="1" numFmtId="0" xfId="0" applyAlignment="1" applyFill="1" applyFont="1">
      <alignment readingOrder="0" shrinkToFit="0" vertical="center" wrapText="0"/>
    </xf>
    <xf borderId="0" fillId="13" fontId="1" numFmtId="0" xfId="0" applyAlignment="1" applyFill="1" applyFont="1">
      <alignment shrinkToFit="0" vertical="center" wrapText="0"/>
    </xf>
    <xf borderId="0" fillId="14" fontId="1" numFmtId="0" xfId="0" applyAlignment="1" applyFill="1" applyFont="1">
      <alignment readingOrder="0" shrinkToFit="0" vertical="center" wrapText="0"/>
    </xf>
    <xf borderId="0" fillId="14" fontId="1" numFmtId="0" xfId="0" applyAlignment="1" applyFill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5595"/>
          <bgColor rgb="FF375595"/>
        </patternFill>
      </fill>
      <border/>
    </dxf>
  </dxfs>
  <tableStyles count="4">
    <tableStyle count="4" pivot="0" name="Active Gri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dit-Profi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aign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mpaigns (Archived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Q141" displayName="Table1" name="Table1" id="2">
  <tableColumns count="16">
    <tableColumn name="Tank" id="1"/>
    <tableColumn name="Type" id="2"/>
    <tableColumn name="Tier" id="3"/>
    <tableColumn name="Win" id="4"/>
    <tableColumn name="Survived" id="5"/>
    <tableColumn name="Credits" id="6"/>
    <tableColumn name="Repairs" id="7"/>
    <tableColumn name="Ammo" id="8"/>
    <tableColumn name="Consumables" id="9"/>
    <tableColumn name="Net Credits" id="10"/>
    <tableColumn name="XP" id="11"/>
    <tableColumn name="Map" id="12"/>
    <tableColumn name="Duration" id="13"/>
    <tableColumn name="Platoon" id="14"/>
    <tableColumn name="Reserves" id="15"/>
    <tableColumn name="WOT Prem" id="16"/>
  </tableColumns>
  <tableStyleInfo name="Credit-Profits-style" showColumnStripes="0" showFirstColumn="1" showLastColumn="1" showRowStripes="1"/>
</table>
</file>

<file path=xl/tables/table2.xml><?xml version="1.0" encoding="utf-8"?>
<table xmlns="http://schemas.openxmlformats.org/spreadsheetml/2006/main" ref="B2:H12" displayName="Table2" name="Table2" id="1">
  <tableColumns count="7">
    <tableColumn name="Tank" id="1"/>
    <tableColumn name="XP" id="2"/>
    <tableColumn name="XP to Max" id="3"/>
    <tableColumn name="XP to Next Tank" id="4"/>
    <tableColumn name="Total XP" id="5"/>
    <tableColumn name="XP Remaining" id="6"/>
    <tableColumn name="Progress" id="7"/>
  </tableColumns>
  <tableStyleInfo name="Active Grinding-style" showColumnStripes="0" showFirstColumn="1" showLastColumn="1" showRowStripes="1"/>
</table>
</file>

<file path=xl/tables/table3.xml><?xml version="1.0" encoding="utf-8"?>
<table xmlns="http://schemas.openxmlformats.org/spreadsheetml/2006/main" ref="B1:M94" displayName="Campaign_Missions" name="Campaign_Missions" id="3">
  <autoFilter ref="$B$1:$M$94">
    <filterColumn colId="8">
      <filters>
        <filter val="Honors"/>
        <filter val="Primary"/>
      </filters>
    </filterColumn>
  </autoFilter>
  <tableColumns count="12">
    <tableColumn name="Campaign" id="1"/>
    <tableColumn name="Nation" id="2"/>
    <tableColumn name="Mission ID" id="3"/>
    <tableColumn name="Tank Class" id="4"/>
    <tableColumn name="Rating" id="5"/>
    <tableColumn name="Primary Condition" id="6"/>
    <tableColumn name="Honors Condition" id="7"/>
    <tableColumn name="Objective" id="8"/>
    <tableColumn name="Completion" id="9"/>
    <tableColumn name="Specific?" id="10"/>
    <tableColumn name="Tank Recommendation / Strategy" id="11"/>
    <tableColumn name="Extra" id="12"/>
  </tableColumns>
  <tableStyleInfo name="Campaigns-style" showColumnStripes="0" showFirstColumn="1" showLastColumn="1" showRowStripes="1"/>
</table>
</file>

<file path=xl/tables/table4.xml><?xml version="1.0" encoding="utf-8"?>
<table xmlns="http://schemas.openxmlformats.org/spreadsheetml/2006/main" ref="B2:I26" displayName="CampaignMissions" name="CampaignMissions" id="4">
  <autoFilter ref="$B$2:$I$26"/>
  <tableColumns count="8">
    <tableColumn name="Campaign" id="1"/>
    <tableColumn name="Tank Type" id="2"/>
    <tableColumn name="Specific?" id="3"/>
    <tableColumn name="Mission ID" id="4"/>
    <tableColumn name="Completion Needed" id="5"/>
    <tableColumn name="Mission" id="6"/>
    <tableColumn name="Honors" id="7"/>
    <tableColumn name="Special" id="8"/>
  </tableColumns>
  <tableStyleInfo name="Campaigns (Archived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8.38"/>
    <col customWidth="1" min="4" max="4" width="13.88"/>
    <col customWidth="1" min="5" max="5" width="7.13"/>
    <col customWidth="1" min="6" max="6" width="15.13"/>
    <col customWidth="1" min="7" max="7" width="14.0"/>
    <col customWidth="1" min="8" max="8" width="14.38"/>
    <col customWidth="1" min="9" max="9" width="13.75"/>
    <col customWidth="1" min="10" max="10" width="19.0"/>
    <col customWidth="1" min="11" max="11" width="17.13"/>
    <col customWidth="1" min="12" max="12" width="10.88"/>
    <col customWidth="1" min="13" max="13" width="14.25"/>
    <col customWidth="1" min="14" max="14" width="15.0"/>
    <col customWidth="1" min="15" max="15" width="11.25"/>
    <col customWidth="1" min="16" max="16" width="16.13"/>
    <col customWidth="1" min="17" max="17" width="13.5"/>
  </cols>
  <sheetData>
    <row r="1">
      <c r="D1" s="9"/>
    </row>
    <row r="2" ht="22.5" customHeight="1">
      <c r="B2" s="12" t="s">
        <v>71</v>
      </c>
      <c r="C2" s="12" t="s">
        <v>77</v>
      </c>
      <c r="D2" s="13" t="s">
        <v>80</v>
      </c>
      <c r="E2" s="12" t="s">
        <v>84</v>
      </c>
      <c r="F2" s="12" t="s">
        <v>86</v>
      </c>
      <c r="G2" s="12" t="s">
        <v>89</v>
      </c>
      <c r="H2" s="12" t="s">
        <v>65</v>
      </c>
      <c r="I2" s="12" t="s">
        <v>92</v>
      </c>
      <c r="J2" s="12" t="s">
        <v>95</v>
      </c>
      <c r="K2" s="12" t="s">
        <v>97</v>
      </c>
      <c r="L2" s="12" t="s">
        <v>76</v>
      </c>
      <c r="M2" s="12" t="s">
        <v>100</v>
      </c>
      <c r="N2" s="12" t="s">
        <v>103</v>
      </c>
      <c r="O2" s="12" t="s">
        <v>105</v>
      </c>
      <c r="P2" s="12" t="s">
        <v>107</v>
      </c>
      <c r="Q2" s="12" t="s">
        <v>110</v>
      </c>
    </row>
    <row r="3" ht="22.5" customHeight="1">
      <c r="B3" s="15" t="s">
        <v>115</v>
      </c>
      <c r="C3" s="17" t="s">
        <v>119</v>
      </c>
      <c r="D3" s="20" t="s">
        <v>122</v>
      </c>
      <c r="E3" s="17" t="s">
        <v>18</v>
      </c>
      <c r="F3" s="17" t="s">
        <v>19</v>
      </c>
      <c r="G3" s="15">
        <v>56696.0</v>
      </c>
      <c r="H3" s="15">
        <v>5415.0</v>
      </c>
      <c r="I3" s="15">
        <v>2530.0</v>
      </c>
      <c r="J3" s="15">
        <v>0.0</v>
      </c>
      <c r="K3" s="15">
        <f t="shared" ref="K3:K138" si="1">G3-(SUM(H3:J3))</f>
        <v>48751</v>
      </c>
      <c r="L3" s="15">
        <v>1121.0</v>
      </c>
      <c r="M3" s="15" t="s">
        <v>136</v>
      </c>
      <c r="N3" s="30" t="s">
        <v>138</v>
      </c>
      <c r="O3" s="15" t="s">
        <v>19</v>
      </c>
      <c r="P3" s="15">
        <v>0.0</v>
      </c>
      <c r="Q3" s="15" t="s">
        <v>18</v>
      </c>
    </row>
    <row r="4" ht="22.5" customHeight="1">
      <c r="B4" s="15" t="s">
        <v>161</v>
      </c>
      <c r="C4" s="17" t="s">
        <v>119</v>
      </c>
      <c r="D4" s="30" t="s">
        <v>122</v>
      </c>
      <c r="E4" s="17" t="s">
        <v>19</v>
      </c>
      <c r="F4" s="17" t="s">
        <v>19</v>
      </c>
      <c r="G4" s="32">
        <v>19395.0</v>
      </c>
      <c r="H4" s="32">
        <v>5598.0</v>
      </c>
      <c r="I4" s="32">
        <v>280.0</v>
      </c>
      <c r="J4" s="32">
        <v>0.0</v>
      </c>
      <c r="K4" s="32">
        <f t="shared" si="1"/>
        <v>13517</v>
      </c>
      <c r="L4" s="32">
        <v>208.0</v>
      </c>
      <c r="M4" s="15" t="s">
        <v>169</v>
      </c>
      <c r="N4" s="30" t="s">
        <v>171</v>
      </c>
      <c r="O4" s="15" t="s">
        <v>19</v>
      </c>
      <c r="P4" s="32">
        <v>0.5</v>
      </c>
      <c r="Q4" s="15" t="s">
        <v>18</v>
      </c>
    </row>
    <row r="5" ht="22.5" customHeight="1">
      <c r="B5" s="30" t="s">
        <v>177</v>
      </c>
      <c r="C5" s="17" t="s">
        <v>179</v>
      </c>
      <c r="D5" s="30" t="s">
        <v>181</v>
      </c>
      <c r="E5" s="17" t="s">
        <v>18</v>
      </c>
      <c r="F5" s="17" t="s">
        <v>18</v>
      </c>
      <c r="G5" s="32">
        <v>66141.0</v>
      </c>
      <c r="H5" s="32">
        <v>7153.0</v>
      </c>
      <c r="I5" s="32">
        <v>4760.0</v>
      </c>
      <c r="J5" s="32">
        <v>0.0</v>
      </c>
      <c r="K5" s="32">
        <f t="shared" si="1"/>
        <v>54228</v>
      </c>
      <c r="L5" s="32">
        <v>1294.0</v>
      </c>
      <c r="M5" s="15" t="s">
        <v>189</v>
      </c>
      <c r="N5" s="30" t="s">
        <v>191</v>
      </c>
      <c r="O5" s="15" t="s">
        <v>19</v>
      </c>
      <c r="P5" s="32">
        <v>0.5</v>
      </c>
      <c r="Q5" s="15" t="s">
        <v>18</v>
      </c>
    </row>
    <row r="6" ht="22.5" customHeight="1">
      <c r="B6" s="30" t="s">
        <v>196</v>
      </c>
      <c r="C6" s="17" t="s">
        <v>179</v>
      </c>
      <c r="D6" s="30" t="s">
        <v>122</v>
      </c>
      <c r="E6" s="17" t="s">
        <v>18</v>
      </c>
      <c r="F6" s="17" t="s">
        <v>18</v>
      </c>
      <c r="G6" s="32">
        <v>71609.0</v>
      </c>
      <c r="H6" s="32">
        <v>3201.0</v>
      </c>
      <c r="I6" s="32">
        <v>3780.0</v>
      </c>
      <c r="J6" s="32">
        <v>0.0</v>
      </c>
      <c r="K6" s="32">
        <f t="shared" si="1"/>
        <v>64628</v>
      </c>
      <c r="L6" s="32">
        <v>1322.0</v>
      </c>
      <c r="M6" s="15" t="s">
        <v>198</v>
      </c>
      <c r="N6" s="30" t="s">
        <v>199</v>
      </c>
      <c r="O6" s="15" t="s">
        <v>19</v>
      </c>
      <c r="P6" s="32">
        <v>0.0</v>
      </c>
      <c r="Q6" s="15" t="s">
        <v>18</v>
      </c>
    </row>
    <row r="7" ht="22.5" customHeight="1">
      <c r="B7" s="30" t="s">
        <v>204</v>
      </c>
      <c r="C7" s="17" t="s">
        <v>179</v>
      </c>
      <c r="D7" s="30" t="s">
        <v>208</v>
      </c>
      <c r="E7" s="17" t="s">
        <v>18</v>
      </c>
      <c r="F7" s="17" t="s">
        <v>18</v>
      </c>
      <c r="G7" s="32">
        <v>73844.0</v>
      </c>
      <c r="H7" s="32">
        <v>3248.0</v>
      </c>
      <c r="I7" s="32">
        <v>8040.0</v>
      </c>
      <c r="J7" s="32">
        <v>5000.0</v>
      </c>
      <c r="K7" s="32">
        <f t="shared" si="1"/>
        <v>57556</v>
      </c>
      <c r="L7" s="32">
        <v>1518.0</v>
      </c>
      <c r="M7" s="15" t="s">
        <v>210</v>
      </c>
      <c r="N7" s="30" t="s">
        <v>213</v>
      </c>
      <c r="O7" s="15" t="s">
        <v>19</v>
      </c>
      <c r="P7" s="32">
        <v>0.0</v>
      </c>
      <c r="Q7" s="15" t="s">
        <v>18</v>
      </c>
    </row>
    <row r="8" ht="22.5" customHeight="1">
      <c r="B8" s="30" t="s">
        <v>218</v>
      </c>
      <c r="C8" s="17" t="s">
        <v>179</v>
      </c>
      <c r="D8" s="30" t="s">
        <v>122</v>
      </c>
      <c r="E8" s="17" t="s">
        <v>18</v>
      </c>
      <c r="F8" s="17" t="s">
        <v>18</v>
      </c>
      <c r="G8" s="32">
        <v>88934.0</v>
      </c>
      <c r="H8" s="32">
        <v>3808.0</v>
      </c>
      <c r="I8" s="32">
        <v>6450.0</v>
      </c>
      <c r="J8" s="32">
        <v>0.0</v>
      </c>
      <c r="K8" s="32">
        <f t="shared" si="1"/>
        <v>78676</v>
      </c>
      <c r="L8" s="32">
        <v>1685.0</v>
      </c>
      <c r="M8" s="15" t="s">
        <v>224</v>
      </c>
      <c r="N8" s="30" t="s">
        <v>225</v>
      </c>
      <c r="O8" s="15" t="s">
        <v>19</v>
      </c>
      <c r="P8" s="32">
        <v>0.0</v>
      </c>
      <c r="Q8" s="15" t="s">
        <v>18</v>
      </c>
    </row>
    <row r="9" ht="22.5" customHeight="1">
      <c r="B9" s="30" t="s">
        <v>228</v>
      </c>
      <c r="C9" s="17" t="s">
        <v>179</v>
      </c>
      <c r="D9" s="30" t="s">
        <v>122</v>
      </c>
      <c r="E9" s="17" t="s">
        <v>19</v>
      </c>
      <c r="F9" s="17" t="s">
        <v>19</v>
      </c>
      <c r="G9" s="32">
        <v>67848.0</v>
      </c>
      <c r="H9" s="32">
        <v>7969.0</v>
      </c>
      <c r="I9" s="32">
        <v>12360.0</v>
      </c>
      <c r="J9" s="32">
        <v>0.0</v>
      </c>
      <c r="K9" s="32">
        <f t="shared" si="1"/>
        <v>47519</v>
      </c>
      <c r="L9" s="32">
        <v>840.0</v>
      </c>
      <c r="M9" s="15" t="s">
        <v>189</v>
      </c>
      <c r="N9" s="30" t="s">
        <v>230</v>
      </c>
      <c r="O9" s="15" t="s">
        <v>19</v>
      </c>
      <c r="P9" s="32">
        <v>0.0</v>
      </c>
      <c r="Q9" s="15" t="s">
        <v>18</v>
      </c>
    </row>
    <row r="10" ht="22.5" customHeight="1">
      <c r="B10" s="30" t="s">
        <v>228</v>
      </c>
      <c r="C10" s="17" t="s">
        <v>179</v>
      </c>
      <c r="D10" s="30" t="s">
        <v>241</v>
      </c>
      <c r="E10" s="17" t="s">
        <v>18</v>
      </c>
      <c r="F10" s="17" t="s">
        <v>18</v>
      </c>
      <c r="G10" s="32">
        <v>79512.0</v>
      </c>
      <c r="H10" s="32">
        <v>6624.0</v>
      </c>
      <c r="I10" s="32">
        <v>7210.0</v>
      </c>
      <c r="J10" s="32">
        <v>0.0</v>
      </c>
      <c r="K10" s="32">
        <f t="shared" si="1"/>
        <v>65678</v>
      </c>
      <c r="L10" s="32">
        <v>1616.0</v>
      </c>
      <c r="M10" s="15" t="s">
        <v>169</v>
      </c>
      <c r="N10" s="30" t="s">
        <v>250</v>
      </c>
      <c r="O10" s="15" t="s">
        <v>19</v>
      </c>
      <c r="P10" s="32">
        <v>0.0</v>
      </c>
      <c r="Q10" s="15" t="s">
        <v>18</v>
      </c>
    </row>
    <row r="11" ht="22.5" customHeight="1">
      <c r="B11" s="30" t="s">
        <v>257</v>
      </c>
      <c r="C11" s="17" t="s">
        <v>179</v>
      </c>
      <c r="D11" s="30" t="s">
        <v>181</v>
      </c>
      <c r="E11" s="17" t="s">
        <v>18</v>
      </c>
      <c r="F11" s="17" t="s">
        <v>18</v>
      </c>
      <c r="G11" s="32">
        <v>63023.0</v>
      </c>
      <c r="H11" s="32">
        <v>0.0</v>
      </c>
      <c r="I11" s="32">
        <v>3900.0</v>
      </c>
      <c r="J11" s="32">
        <v>0.0</v>
      </c>
      <c r="K11" s="32">
        <f t="shared" si="1"/>
        <v>59123</v>
      </c>
      <c r="L11" s="32">
        <v>1188.0</v>
      </c>
      <c r="M11" s="15" t="s">
        <v>265</v>
      </c>
      <c r="N11" s="30" t="s">
        <v>266</v>
      </c>
      <c r="O11" s="15" t="s">
        <v>19</v>
      </c>
      <c r="P11" s="32">
        <v>0.0</v>
      </c>
      <c r="Q11" s="15" t="s">
        <v>18</v>
      </c>
    </row>
    <row r="12" ht="22.5" customHeight="1">
      <c r="B12" s="30" t="s">
        <v>161</v>
      </c>
      <c r="C12" s="17" t="s">
        <v>119</v>
      </c>
      <c r="D12" s="30" t="s">
        <v>181</v>
      </c>
      <c r="E12" s="17" t="s">
        <v>18</v>
      </c>
      <c r="F12" s="17" t="s">
        <v>18</v>
      </c>
      <c r="G12" s="32">
        <v>54125.0</v>
      </c>
      <c r="H12" s="32">
        <v>2631.0</v>
      </c>
      <c r="I12" s="32">
        <v>2800.0</v>
      </c>
      <c r="J12" s="32">
        <v>0.0</v>
      </c>
      <c r="K12" s="32">
        <f t="shared" si="1"/>
        <v>48694</v>
      </c>
      <c r="L12" s="32">
        <v>1405.0</v>
      </c>
      <c r="M12" s="15" t="s">
        <v>317</v>
      </c>
      <c r="N12" s="30" t="s">
        <v>325</v>
      </c>
      <c r="O12" s="15" t="s">
        <v>19</v>
      </c>
      <c r="P12" s="32">
        <v>0.0</v>
      </c>
      <c r="Q12" s="15" t="s">
        <v>18</v>
      </c>
    </row>
    <row r="13" ht="22.5" customHeight="1">
      <c r="B13" s="30" t="s">
        <v>177</v>
      </c>
      <c r="C13" s="17" t="s">
        <v>179</v>
      </c>
      <c r="D13" s="30" t="s">
        <v>122</v>
      </c>
      <c r="E13" s="17" t="s">
        <v>18</v>
      </c>
      <c r="F13" s="17" t="s">
        <v>18</v>
      </c>
      <c r="G13" s="46">
        <v>61793.0</v>
      </c>
      <c r="H13" s="46">
        <v>6920.0</v>
      </c>
      <c r="I13" s="46">
        <v>6120.0</v>
      </c>
      <c r="J13" s="32">
        <v>0.0</v>
      </c>
      <c r="K13" s="32">
        <f t="shared" si="1"/>
        <v>48753</v>
      </c>
      <c r="L13" s="32">
        <v>1365.0</v>
      </c>
      <c r="M13" s="15" t="s">
        <v>364</v>
      </c>
      <c r="N13" s="30" t="s">
        <v>225</v>
      </c>
      <c r="O13" s="15" t="s">
        <v>19</v>
      </c>
      <c r="P13" s="32">
        <v>0.0</v>
      </c>
      <c r="Q13" s="15" t="s">
        <v>18</v>
      </c>
    </row>
    <row r="14" ht="22.5" customHeight="1">
      <c r="B14" s="15" t="s">
        <v>218</v>
      </c>
      <c r="C14" s="17" t="s">
        <v>179</v>
      </c>
      <c r="D14" s="30" t="s">
        <v>241</v>
      </c>
      <c r="E14" s="17" t="s">
        <v>19</v>
      </c>
      <c r="F14" s="17" t="s">
        <v>19</v>
      </c>
      <c r="G14" s="32">
        <v>20897.0</v>
      </c>
      <c r="H14" s="32">
        <v>8355.0</v>
      </c>
      <c r="I14" s="32">
        <v>860.0</v>
      </c>
      <c r="J14" s="32">
        <v>0.0</v>
      </c>
      <c r="K14" s="32">
        <f t="shared" si="1"/>
        <v>11682</v>
      </c>
      <c r="L14" s="32">
        <v>165.0</v>
      </c>
      <c r="M14" s="15" t="s">
        <v>383</v>
      </c>
      <c r="N14" s="30" t="s">
        <v>384</v>
      </c>
      <c r="O14" s="15" t="s">
        <v>19</v>
      </c>
      <c r="P14" s="32">
        <v>0.5</v>
      </c>
      <c r="Q14" s="15" t="s">
        <v>18</v>
      </c>
    </row>
    <row r="15" ht="22.5" customHeight="1">
      <c r="B15" s="30" t="s">
        <v>218</v>
      </c>
      <c r="C15" s="17" t="s">
        <v>179</v>
      </c>
      <c r="D15" s="30" t="s">
        <v>122</v>
      </c>
      <c r="E15" s="17" t="s">
        <v>18</v>
      </c>
      <c r="F15" s="17" t="s">
        <v>18</v>
      </c>
      <c r="G15" s="32">
        <v>67626.0</v>
      </c>
      <c r="H15" s="32">
        <v>6259.0</v>
      </c>
      <c r="I15" s="32">
        <v>4730.0</v>
      </c>
      <c r="J15" s="32">
        <v>0.0</v>
      </c>
      <c r="K15" s="32">
        <f t="shared" si="1"/>
        <v>56637</v>
      </c>
      <c r="L15" s="32">
        <v>1405.0</v>
      </c>
      <c r="M15" s="15" t="s">
        <v>407</v>
      </c>
      <c r="N15" s="30" t="s">
        <v>409</v>
      </c>
      <c r="O15" s="15" t="s">
        <v>19</v>
      </c>
      <c r="P15" s="32">
        <v>0.5</v>
      </c>
      <c r="Q15" s="15" t="s">
        <v>18</v>
      </c>
    </row>
    <row r="16" ht="22.5" customHeight="1">
      <c r="B16" s="15" t="s">
        <v>420</v>
      </c>
      <c r="C16" s="17" t="s">
        <v>327</v>
      </c>
      <c r="D16" s="30" t="s">
        <v>241</v>
      </c>
      <c r="E16" s="17" t="s">
        <v>18</v>
      </c>
      <c r="F16" s="17" t="s">
        <v>18</v>
      </c>
      <c r="G16" s="32">
        <v>65972.0</v>
      </c>
      <c r="H16" s="32">
        <v>4784.0</v>
      </c>
      <c r="I16" s="32">
        <v>7440.0</v>
      </c>
      <c r="J16" s="32">
        <v>0.0</v>
      </c>
      <c r="K16" s="32">
        <f t="shared" si="1"/>
        <v>53748</v>
      </c>
      <c r="L16" s="32">
        <v>1379.0</v>
      </c>
      <c r="M16" s="15" t="s">
        <v>424</v>
      </c>
      <c r="N16" s="30" t="s">
        <v>425</v>
      </c>
      <c r="O16" s="15" t="s">
        <v>19</v>
      </c>
      <c r="P16" s="32">
        <v>0.5</v>
      </c>
      <c r="Q16" s="15" t="s">
        <v>18</v>
      </c>
    </row>
    <row r="17" ht="22.5" customHeight="1">
      <c r="B17" s="15" t="s">
        <v>428</v>
      </c>
      <c r="C17" s="17" t="s">
        <v>119</v>
      </c>
      <c r="D17" s="30" t="s">
        <v>122</v>
      </c>
      <c r="E17" s="17" t="s">
        <v>19</v>
      </c>
      <c r="F17" s="17" t="s">
        <v>19</v>
      </c>
      <c r="G17" s="32">
        <v>22721.0</v>
      </c>
      <c r="H17" s="32">
        <v>5700.0</v>
      </c>
      <c r="I17" s="32">
        <v>1080.0</v>
      </c>
      <c r="J17" s="32">
        <v>0.0</v>
      </c>
      <c r="K17" s="32">
        <f t="shared" si="1"/>
        <v>15941</v>
      </c>
      <c r="L17" s="32">
        <v>372.0</v>
      </c>
      <c r="M17" s="15" t="s">
        <v>407</v>
      </c>
      <c r="N17" s="30" t="s">
        <v>429</v>
      </c>
      <c r="O17" s="15" t="s">
        <v>19</v>
      </c>
      <c r="P17" s="32">
        <v>0.5</v>
      </c>
      <c r="Q17" s="15" t="s">
        <v>18</v>
      </c>
    </row>
    <row r="18" ht="22.5" customHeight="1">
      <c r="B18" s="15" t="s">
        <v>161</v>
      </c>
      <c r="C18" s="17" t="s">
        <v>119</v>
      </c>
      <c r="D18" s="30" t="s">
        <v>181</v>
      </c>
      <c r="E18" s="17" t="s">
        <v>18</v>
      </c>
      <c r="F18" s="17" t="s">
        <v>18</v>
      </c>
      <c r="G18" s="32">
        <v>84756.0</v>
      </c>
      <c r="H18" s="32">
        <v>1283.0</v>
      </c>
      <c r="I18" s="32">
        <v>1680.0</v>
      </c>
      <c r="J18" s="32">
        <v>0.0</v>
      </c>
      <c r="K18" s="32">
        <f t="shared" si="1"/>
        <v>81793</v>
      </c>
      <c r="L18" s="32">
        <v>1518.0</v>
      </c>
      <c r="M18" s="15" t="s">
        <v>430</v>
      </c>
      <c r="N18" s="30" t="s">
        <v>138</v>
      </c>
      <c r="O18" s="15" t="s">
        <v>19</v>
      </c>
      <c r="P18" s="32">
        <v>0.5</v>
      </c>
      <c r="Q18" s="15" t="s">
        <v>18</v>
      </c>
    </row>
    <row r="19" ht="22.5" customHeight="1">
      <c r="B19" s="15" t="s">
        <v>115</v>
      </c>
      <c r="C19" s="17" t="s">
        <v>119</v>
      </c>
      <c r="D19" s="20" t="s">
        <v>122</v>
      </c>
      <c r="E19" s="17" t="s">
        <v>18</v>
      </c>
      <c r="F19" s="17" t="s">
        <v>18</v>
      </c>
      <c r="G19" s="32">
        <v>50543.0</v>
      </c>
      <c r="H19" s="32">
        <v>4908.0</v>
      </c>
      <c r="I19" s="32">
        <v>3290.0</v>
      </c>
      <c r="J19" s="32">
        <v>0.0</v>
      </c>
      <c r="K19" s="32">
        <f t="shared" si="1"/>
        <v>42345</v>
      </c>
      <c r="L19" s="32">
        <v>1089.0</v>
      </c>
      <c r="M19" s="15" t="s">
        <v>364</v>
      </c>
      <c r="N19" s="30" t="s">
        <v>138</v>
      </c>
      <c r="O19" s="15" t="s">
        <v>19</v>
      </c>
      <c r="P19" s="32">
        <v>0.0</v>
      </c>
      <c r="Q19" s="15" t="s">
        <v>18</v>
      </c>
    </row>
    <row r="20" ht="22.5" customHeight="1">
      <c r="B20" s="15" t="s">
        <v>115</v>
      </c>
      <c r="C20" s="17" t="s">
        <v>119</v>
      </c>
      <c r="D20" s="20" t="s">
        <v>122</v>
      </c>
      <c r="E20" s="17" t="s">
        <v>18</v>
      </c>
      <c r="F20" s="17" t="s">
        <v>19</v>
      </c>
      <c r="G20" s="32">
        <v>32580.0</v>
      </c>
      <c r="H20" s="32">
        <v>5415.0</v>
      </c>
      <c r="I20" s="32">
        <v>460.0</v>
      </c>
      <c r="J20" s="32">
        <v>0.0</v>
      </c>
      <c r="K20" s="32">
        <f t="shared" si="1"/>
        <v>26705</v>
      </c>
      <c r="L20" s="32">
        <v>700.0</v>
      </c>
      <c r="M20" s="15" t="s">
        <v>433</v>
      </c>
      <c r="N20" s="30" t="s">
        <v>434</v>
      </c>
      <c r="O20" s="15" t="s">
        <v>19</v>
      </c>
      <c r="P20" s="32">
        <v>0.0</v>
      </c>
      <c r="Q20" s="15" t="s">
        <v>18</v>
      </c>
    </row>
    <row r="21" ht="22.5" customHeight="1">
      <c r="B21" s="15" t="s">
        <v>115</v>
      </c>
      <c r="C21" s="17" t="s">
        <v>119</v>
      </c>
      <c r="D21" s="20" t="s">
        <v>122</v>
      </c>
      <c r="E21" s="17" t="s">
        <v>18</v>
      </c>
      <c r="F21" s="17" t="s">
        <v>19</v>
      </c>
      <c r="G21" s="32">
        <v>41921.0</v>
      </c>
      <c r="H21" s="32">
        <v>5448.0</v>
      </c>
      <c r="I21" s="32">
        <v>560.0</v>
      </c>
      <c r="J21" s="32">
        <v>0.0</v>
      </c>
      <c r="K21" s="32">
        <f t="shared" si="1"/>
        <v>35913</v>
      </c>
      <c r="L21" s="32">
        <v>840.0</v>
      </c>
      <c r="M21" s="15" t="s">
        <v>198</v>
      </c>
      <c r="N21" s="30" t="s">
        <v>435</v>
      </c>
      <c r="O21" s="15" t="s">
        <v>19</v>
      </c>
      <c r="P21" s="32">
        <v>0.0</v>
      </c>
      <c r="Q21" s="15" t="s">
        <v>18</v>
      </c>
    </row>
    <row r="22" ht="22.5" customHeight="1">
      <c r="B22" s="15" t="s">
        <v>115</v>
      </c>
      <c r="C22" s="17" t="s">
        <v>119</v>
      </c>
      <c r="D22" s="20" t="s">
        <v>241</v>
      </c>
      <c r="E22" s="17" t="s">
        <v>19</v>
      </c>
      <c r="F22" s="17" t="s">
        <v>19</v>
      </c>
      <c r="G22" s="32">
        <v>31053.0</v>
      </c>
      <c r="H22" s="32">
        <v>5436.0</v>
      </c>
      <c r="I22" s="32">
        <v>1380.0</v>
      </c>
      <c r="J22" s="32">
        <v>0.0</v>
      </c>
      <c r="K22" s="32">
        <f t="shared" si="1"/>
        <v>24237</v>
      </c>
      <c r="L22" s="32">
        <v>323.0</v>
      </c>
      <c r="M22" s="15" t="s">
        <v>436</v>
      </c>
      <c r="N22" s="30" t="s">
        <v>213</v>
      </c>
      <c r="O22" s="15" t="s">
        <v>19</v>
      </c>
      <c r="P22" s="32">
        <v>0.0</v>
      </c>
      <c r="Q22" s="15" t="s">
        <v>18</v>
      </c>
    </row>
    <row r="23" ht="22.5" customHeight="1">
      <c r="B23" s="15" t="s">
        <v>161</v>
      </c>
      <c r="C23" s="17" t="s">
        <v>119</v>
      </c>
      <c r="D23" s="20" t="s">
        <v>122</v>
      </c>
      <c r="E23" s="17" t="s">
        <v>19</v>
      </c>
      <c r="F23" s="17" t="s">
        <v>19</v>
      </c>
      <c r="G23" s="32">
        <v>52752.0</v>
      </c>
      <c r="H23" s="32">
        <v>6215.0</v>
      </c>
      <c r="I23" s="32">
        <v>1680.0</v>
      </c>
      <c r="J23" s="32">
        <v>0.0</v>
      </c>
      <c r="K23" s="32">
        <f t="shared" si="1"/>
        <v>44857</v>
      </c>
      <c r="L23" s="32">
        <v>650.0</v>
      </c>
      <c r="M23" s="15" t="s">
        <v>438</v>
      </c>
      <c r="N23" s="30" t="s">
        <v>138</v>
      </c>
      <c r="O23" s="15" t="s">
        <v>19</v>
      </c>
      <c r="P23" s="32">
        <v>0.0</v>
      </c>
      <c r="Q23" s="15" t="s">
        <v>18</v>
      </c>
    </row>
    <row r="24" ht="22.5" customHeight="1">
      <c r="B24" s="15" t="s">
        <v>161</v>
      </c>
      <c r="C24" s="17" t="s">
        <v>119</v>
      </c>
      <c r="D24" s="20" t="s">
        <v>181</v>
      </c>
      <c r="E24" s="17" t="s">
        <v>18</v>
      </c>
      <c r="F24" s="17" t="s">
        <v>18</v>
      </c>
      <c r="G24" s="32">
        <v>48726.0</v>
      </c>
      <c r="H24" s="32">
        <v>1596.0</v>
      </c>
      <c r="I24" s="32">
        <v>1120.0</v>
      </c>
      <c r="J24" s="32">
        <v>0.0</v>
      </c>
      <c r="K24" s="32">
        <f t="shared" si="1"/>
        <v>46010</v>
      </c>
      <c r="L24" s="32">
        <v>1164.0</v>
      </c>
      <c r="M24" s="15" t="s">
        <v>439</v>
      </c>
      <c r="N24" s="30" t="s">
        <v>325</v>
      </c>
      <c r="O24" s="15" t="s">
        <v>19</v>
      </c>
      <c r="P24" s="32">
        <v>0.0</v>
      </c>
      <c r="Q24" s="15" t="s">
        <v>18</v>
      </c>
    </row>
    <row r="25" ht="22.5" customHeight="1">
      <c r="B25" s="15" t="s">
        <v>161</v>
      </c>
      <c r="C25" s="17" t="s">
        <v>119</v>
      </c>
      <c r="D25" s="20" t="s">
        <v>122</v>
      </c>
      <c r="E25" s="17" t="s">
        <v>18</v>
      </c>
      <c r="F25" s="17" t="s">
        <v>19</v>
      </c>
      <c r="G25" s="32">
        <v>36315.0</v>
      </c>
      <c r="H25" s="32">
        <v>5880.0</v>
      </c>
      <c r="I25" s="32">
        <v>840.0</v>
      </c>
      <c r="J25" s="32">
        <v>0.0</v>
      </c>
      <c r="K25" s="32">
        <f t="shared" si="1"/>
        <v>29595</v>
      </c>
      <c r="L25" s="32">
        <v>667.0</v>
      </c>
      <c r="M25" s="15" t="s">
        <v>265</v>
      </c>
      <c r="N25" s="30" t="s">
        <v>440</v>
      </c>
      <c r="O25" s="15" t="s">
        <v>19</v>
      </c>
      <c r="P25" s="32">
        <v>0.0</v>
      </c>
      <c r="Q25" s="15" t="s">
        <v>18</v>
      </c>
    </row>
    <row r="26" ht="22.5" customHeight="1">
      <c r="B26" s="15" t="s">
        <v>161</v>
      </c>
      <c r="C26" s="17" t="s">
        <v>119</v>
      </c>
      <c r="D26" s="20" t="s">
        <v>241</v>
      </c>
      <c r="E26" s="17" t="s">
        <v>18</v>
      </c>
      <c r="F26" s="17" t="s">
        <v>18</v>
      </c>
      <c r="G26" s="32">
        <v>70196.0</v>
      </c>
      <c r="H26" s="32">
        <v>2206.0</v>
      </c>
      <c r="I26" s="32">
        <v>840.0</v>
      </c>
      <c r="J26" s="32">
        <v>0.0</v>
      </c>
      <c r="K26" s="32">
        <f t="shared" si="1"/>
        <v>67150</v>
      </c>
      <c r="L26" s="32">
        <v>1240.0</v>
      </c>
      <c r="M26" s="15" t="s">
        <v>439</v>
      </c>
      <c r="N26" s="30" t="s">
        <v>451</v>
      </c>
      <c r="O26" s="15" t="s">
        <v>19</v>
      </c>
      <c r="P26" s="32">
        <v>0.0</v>
      </c>
      <c r="Q26" s="15" t="s">
        <v>18</v>
      </c>
    </row>
    <row r="27" ht="22.5" customHeight="1">
      <c r="B27" s="15" t="s">
        <v>161</v>
      </c>
      <c r="C27" s="17" t="s">
        <v>119</v>
      </c>
      <c r="D27" s="20" t="s">
        <v>122</v>
      </c>
      <c r="E27" s="17" t="s">
        <v>19</v>
      </c>
      <c r="F27" s="17" t="s">
        <v>19</v>
      </c>
      <c r="G27" s="32">
        <v>42008.0</v>
      </c>
      <c r="H27" s="32">
        <v>5880.0</v>
      </c>
      <c r="I27" s="32">
        <v>1400.0</v>
      </c>
      <c r="J27" s="32">
        <v>0.0</v>
      </c>
      <c r="K27" s="32">
        <f t="shared" si="1"/>
        <v>34728</v>
      </c>
      <c r="L27" s="32">
        <v>614.0</v>
      </c>
      <c r="M27" s="15" t="s">
        <v>407</v>
      </c>
      <c r="N27" s="30" t="s">
        <v>452</v>
      </c>
      <c r="O27" s="15" t="s">
        <v>19</v>
      </c>
      <c r="P27" s="32">
        <v>0.0</v>
      </c>
      <c r="Q27" s="15" t="s">
        <v>18</v>
      </c>
    </row>
    <row r="28" ht="22.5" customHeight="1">
      <c r="B28" s="15" t="s">
        <v>161</v>
      </c>
      <c r="C28" s="17" t="s">
        <v>119</v>
      </c>
      <c r="D28" s="20" t="s">
        <v>181</v>
      </c>
      <c r="E28" s="17" t="s">
        <v>18</v>
      </c>
      <c r="F28" s="17" t="s">
        <v>18</v>
      </c>
      <c r="G28" s="32">
        <v>86477.0</v>
      </c>
      <c r="H28" s="32">
        <v>4367.0</v>
      </c>
      <c r="I28" s="32">
        <v>3080.0</v>
      </c>
      <c r="J28" s="32">
        <v>0.0</v>
      </c>
      <c r="K28" s="32">
        <f t="shared" si="1"/>
        <v>79030</v>
      </c>
      <c r="L28" s="32">
        <v>1670.0</v>
      </c>
      <c r="M28" s="15" t="s">
        <v>364</v>
      </c>
      <c r="N28" s="30" t="s">
        <v>213</v>
      </c>
      <c r="O28" s="15" t="s">
        <v>19</v>
      </c>
      <c r="P28" s="32">
        <v>0.5</v>
      </c>
      <c r="Q28" s="15" t="s">
        <v>18</v>
      </c>
    </row>
    <row r="29" ht="22.5" customHeight="1">
      <c r="B29" s="15" t="s">
        <v>478</v>
      </c>
      <c r="C29" s="17" t="s">
        <v>119</v>
      </c>
      <c r="D29" s="20" t="s">
        <v>241</v>
      </c>
      <c r="E29" s="17" t="s">
        <v>18</v>
      </c>
      <c r="F29" s="17" t="s">
        <v>19</v>
      </c>
      <c r="G29" s="32">
        <v>48465.0</v>
      </c>
      <c r="H29" s="32">
        <v>11976.0</v>
      </c>
      <c r="I29" s="32">
        <v>2050.0</v>
      </c>
      <c r="J29" s="32">
        <v>0.0</v>
      </c>
      <c r="K29" s="32">
        <f t="shared" si="1"/>
        <v>34439</v>
      </c>
      <c r="L29" s="32">
        <v>1241.0</v>
      </c>
      <c r="M29" s="15" t="s">
        <v>488</v>
      </c>
      <c r="N29" s="30" t="s">
        <v>435</v>
      </c>
      <c r="O29" s="15" t="s">
        <v>19</v>
      </c>
      <c r="P29" s="32">
        <v>0.0</v>
      </c>
      <c r="Q29" s="15" t="s">
        <v>18</v>
      </c>
    </row>
    <row r="30" ht="22.5" customHeight="1">
      <c r="B30" s="15" t="s">
        <v>478</v>
      </c>
      <c r="C30" s="17" t="s">
        <v>119</v>
      </c>
      <c r="D30" s="20" t="s">
        <v>122</v>
      </c>
      <c r="E30" s="17" t="s">
        <v>19</v>
      </c>
      <c r="F30" s="17" t="s">
        <v>19</v>
      </c>
      <c r="G30" s="32">
        <v>35883.0</v>
      </c>
      <c r="H30" s="32">
        <v>10380.0</v>
      </c>
      <c r="I30" s="32">
        <v>1100.0</v>
      </c>
      <c r="J30" s="32">
        <v>0.0</v>
      </c>
      <c r="K30" s="32">
        <f t="shared" si="1"/>
        <v>24403</v>
      </c>
      <c r="L30" s="32">
        <v>294.0</v>
      </c>
      <c r="M30" s="15" t="s">
        <v>500</v>
      </c>
      <c r="N30" s="30" t="s">
        <v>434</v>
      </c>
      <c r="O30" s="15" t="s">
        <v>19</v>
      </c>
      <c r="P30" s="32">
        <v>0.0</v>
      </c>
      <c r="Q30" s="15" t="s">
        <v>18</v>
      </c>
    </row>
    <row r="31" ht="22.5" customHeight="1">
      <c r="B31" s="15" t="s">
        <v>478</v>
      </c>
      <c r="C31" s="17" t="s">
        <v>119</v>
      </c>
      <c r="D31" s="20" t="s">
        <v>122</v>
      </c>
      <c r="E31" s="17" t="s">
        <v>19</v>
      </c>
      <c r="F31" s="17" t="s">
        <v>19</v>
      </c>
      <c r="G31" s="32">
        <v>45171.0</v>
      </c>
      <c r="H31" s="32">
        <v>10275.0</v>
      </c>
      <c r="I31" s="32">
        <v>440.0</v>
      </c>
      <c r="J31" s="32">
        <v>0.0</v>
      </c>
      <c r="K31" s="32">
        <f t="shared" si="1"/>
        <v>34456</v>
      </c>
      <c r="L31" s="32">
        <v>505.0</v>
      </c>
      <c r="M31" s="15" t="s">
        <v>189</v>
      </c>
      <c r="N31" s="30" t="s">
        <v>213</v>
      </c>
      <c r="O31" s="15" t="s">
        <v>19</v>
      </c>
      <c r="P31" s="32">
        <v>0.0</v>
      </c>
      <c r="Q31" s="15" t="s">
        <v>18</v>
      </c>
    </row>
    <row r="32" ht="22.5" customHeight="1">
      <c r="B32" s="15" t="s">
        <v>478</v>
      </c>
      <c r="C32" s="17" t="s">
        <v>119</v>
      </c>
      <c r="D32" s="20" t="s">
        <v>241</v>
      </c>
      <c r="E32" s="17" t="s">
        <v>19</v>
      </c>
      <c r="F32" s="17" t="s">
        <v>18</v>
      </c>
      <c r="G32" s="32">
        <v>32058.0</v>
      </c>
      <c r="H32" s="32">
        <v>5730.0</v>
      </c>
      <c r="I32" s="32">
        <v>1100.0</v>
      </c>
      <c r="J32" s="32">
        <v>0.0</v>
      </c>
      <c r="K32" s="32">
        <f t="shared" si="1"/>
        <v>25228</v>
      </c>
      <c r="L32" s="32">
        <v>459.0</v>
      </c>
      <c r="M32" s="15" t="s">
        <v>265</v>
      </c>
      <c r="N32" s="30" t="s">
        <v>325</v>
      </c>
      <c r="O32" s="15" t="s">
        <v>19</v>
      </c>
      <c r="P32" s="32">
        <v>0.0</v>
      </c>
      <c r="Q32" s="15" t="s">
        <v>18</v>
      </c>
    </row>
    <row r="33" ht="22.5" customHeight="1">
      <c r="B33" s="15" t="s">
        <v>478</v>
      </c>
      <c r="C33" s="17" t="s">
        <v>119</v>
      </c>
      <c r="D33" s="20" t="s">
        <v>181</v>
      </c>
      <c r="E33" s="17" t="s">
        <v>19</v>
      </c>
      <c r="F33" s="17" t="s">
        <v>19</v>
      </c>
      <c r="G33" s="32">
        <v>48758.0</v>
      </c>
      <c r="H33" s="32">
        <v>10030.0</v>
      </c>
      <c r="I33" s="32">
        <v>0.0</v>
      </c>
      <c r="J33" s="32">
        <v>0.0</v>
      </c>
      <c r="K33" s="32">
        <f t="shared" si="1"/>
        <v>38728</v>
      </c>
      <c r="L33" s="32">
        <v>462.0</v>
      </c>
      <c r="M33" s="15" t="s">
        <v>189</v>
      </c>
      <c r="N33" s="30" t="s">
        <v>538</v>
      </c>
      <c r="O33" s="15" t="s">
        <v>19</v>
      </c>
      <c r="P33" s="32">
        <v>0.0</v>
      </c>
      <c r="Q33" s="15" t="s">
        <v>18</v>
      </c>
    </row>
    <row r="34" ht="22.5" customHeight="1">
      <c r="B34" s="15" t="s">
        <v>428</v>
      </c>
      <c r="C34" s="17" t="s">
        <v>119</v>
      </c>
      <c r="D34" s="20" t="s">
        <v>241</v>
      </c>
      <c r="E34" s="17" t="s">
        <v>19</v>
      </c>
      <c r="F34" s="17" t="s">
        <v>19</v>
      </c>
      <c r="G34" s="32">
        <v>79478.0</v>
      </c>
      <c r="H34" s="32">
        <v>6180.0</v>
      </c>
      <c r="I34" s="32">
        <v>1890.0</v>
      </c>
      <c r="J34" s="32">
        <v>0.0</v>
      </c>
      <c r="K34" s="32">
        <f t="shared" si="1"/>
        <v>71408</v>
      </c>
      <c r="L34" s="32">
        <v>893.0</v>
      </c>
      <c r="M34" s="15" t="s">
        <v>546</v>
      </c>
      <c r="N34" s="30" t="s">
        <v>547</v>
      </c>
      <c r="O34" s="15" t="s">
        <v>19</v>
      </c>
      <c r="P34" s="32">
        <v>0.0</v>
      </c>
      <c r="Q34" s="15" t="s">
        <v>18</v>
      </c>
    </row>
    <row r="35" ht="22.5" customHeight="1">
      <c r="B35" s="15" t="s">
        <v>428</v>
      </c>
      <c r="C35" s="17" t="s">
        <v>119</v>
      </c>
      <c r="D35" s="20" t="s">
        <v>241</v>
      </c>
      <c r="E35" s="17" t="s">
        <v>18</v>
      </c>
      <c r="F35" s="17" t="s">
        <v>19</v>
      </c>
      <c r="G35" s="32">
        <v>56150.0</v>
      </c>
      <c r="H35" s="32">
        <v>5700.0</v>
      </c>
      <c r="I35" s="32">
        <v>1620.0</v>
      </c>
      <c r="J35" s="32">
        <v>0.0</v>
      </c>
      <c r="K35" s="32">
        <f t="shared" si="1"/>
        <v>48830</v>
      </c>
      <c r="L35" s="32">
        <v>1273.0</v>
      </c>
      <c r="M35" s="15" t="s">
        <v>317</v>
      </c>
      <c r="N35" s="30" t="s">
        <v>551</v>
      </c>
      <c r="O35" s="15" t="s">
        <v>19</v>
      </c>
      <c r="P35" s="32">
        <v>0.0</v>
      </c>
      <c r="Q35" s="15" t="s">
        <v>18</v>
      </c>
    </row>
    <row r="36" ht="22.5" customHeight="1">
      <c r="B36" s="15" t="s">
        <v>428</v>
      </c>
      <c r="C36" s="17" t="s">
        <v>119</v>
      </c>
      <c r="D36" s="20" t="s">
        <v>122</v>
      </c>
      <c r="E36" s="17" t="s">
        <v>19</v>
      </c>
      <c r="F36" s="17" t="s">
        <v>19</v>
      </c>
      <c r="G36" s="32">
        <v>19137.0</v>
      </c>
      <c r="H36" s="32">
        <v>6075.0</v>
      </c>
      <c r="I36" s="32">
        <v>1890.0</v>
      </c>
      <c r="J36" s="32">
        <v>0.0</v>
      </c>
      <c r="K36" s="32">
        <f t="shared" si="1"/>
        <v>11172</v>
      </c>
      <c r="L36" s="32">
        <v>116.0</v>
      </c>
      <c r="M36" s="15" t="s">
        <v>558</v>
      </c>
      <c r="N36" s="30" t="s">
        <v>560</v>
      </c>
      <c r="O36" s="15" t="s">
        <v>19</v>
      </c>
      <c r="P36" s="32">
        <v>0.0</v>
      </c>
      <c r="Q36" s="15" t="s">
        <v>18</v>
      </c>
    </row>
    <row r="37" ht="22.5" customHeight="1">
      <c r="B37" s="15" t="s">
        <v>428</v>
      </c>
      <c r="C37" s="17" t="s">
        <v>119</v>
      </c>
      <c r="D37" s="20" t="s">
        <v>122</v>
      </c>
      <c r="E37" s="17" t="s">
        <v>19</v>
      </c>
      <c r="F37" s="17" t="s">
        <v>19</v>
      </c>
      <c r="G37" s="32">
        <v>55565.0</v>
      </c>
      <c r="H37" s="32">
        <v>5947.0</v>
      </c>
      <c r="I37" s="32">
        <v>810.0</v>
      </c>
      <c r="J37" s="32">
        <v>0.0</v>
      </c>
      <c r="K37" s="32">
        <f t="shared" si="1"/>
        <v>48808</v>
      </c>
      <c r="L37" s="32">
        <v>584.0</v>
      </c>
      <c r="M37" s="15" t="s">
        <v>570</v>
      </c>
      <c r="N37" s="30" t="s">
        <v>538</v>
      </c>
      <c r="O37" s="15" t="s">
        <v>19</v>
      </c>
      <c r="P37" s="32">
        <v>0.0</v>
      </c>
      <c r="Q37" s="15" t="s">
        <v>18</v>
      </c>
    </row>
    <row r="38" ht="22.5" customHeight="1">
      <c r="B38" s="15" t="s">
        <v>428</v>
      </c>
      <c r="C38" s="17" t="s">
        <v>119</v>
      </c>
      <c r="D38" s="20" t="s">
        <v>181</v>
      </c>
      <c r="E38" s="17" t="s">
        <v>19</v>
      </c>
      <c r="F38" s="17" t="s">
        <v>19</v>
      </c>
      <c r="G38" s="32">
        <v>34695.0</v>
      </c>
      <c r="H38" s="32">
        <v>6225.0</v>
      </c>
      <c r="I38" s="32">
        <v>540.0</v>
      </c>
      <c r="J38" s="32">
        <v>0.0</v>
      </c>
      <c r="K38" s="32">
        <f t="shared" si="1"/>
        <v>27930</v>
      </c>
      <c r="L38" s="32">
        <v>293.0</v>
      </c>
      <c r="M38" s="15" t="s">
        <v>576</v>
      </c>
      <c r="N38" s="30" t="s">
        <v>560</v>
      </c>
      <c r="O38" s="15" t="s">
        <v>19</v>
      </c>
      <c r="P38" s="32">
        <v>0.0</v>
      </c>
      <c r="Q38" s="15" t="s">
        <v>18</v>
      </c>
    </row>
    <row r="39" ht="22.5" customHeight="1">
      <c r="B39" s="74"/>
      <c r="C39" s="75"/>
      <c r="D39" s="74"/>
      <c r="E39" s="75"/>
      <c r="F39" s="75"/>
      <c r="G39" s="76"/>
      <c r="H39" s="76"/>
      <c r="I39" s="76"/>
      <c r="J39" s="76"/>
      <c r="K39" s="32">
        <f t="shared" si="1"/>
        <v>0</v>
      </c>
      <c r="L39" s="76"/>
      <c r="N39" s="74"/>
      <c r="O39" s="15" t="s">
        <v>19</v>
      </c>
      <c r="P39" s="32"/>
      <c r="Q39" s="15" t="s">
        <v>18</v>
      </c>
    </row>
    <row r="40" ht="22.5" customHeight="1">
      <c r="B40" s="74"/>
      <c r="C40" s="75"/>
      <c r="D40" s="74"/>
      <c r="E40" s="75"/>
      <c r="F40" s="75"/>
      <c r="G40" s="76"/>
      <c r="H40" s="76"/>
      <c r="I40" s="76"/>
      <c r="J40" s="76"/>
      <c r="K40" s="32">
        <f t="shared" si="1"/>
        <v>0</v>
      </c>
      <c r="L40" s="76"/>
      <c r="N40" s="74"/>
      <c r="O40" s="15" t="s">
        <v>19</v>
      </c>
      <c r="P40" s="32"/>
      <c r="Q40" s="15" t="s">
        <v>18</v>
      </c>
    </row>
    <row r="41" ht="22.5" customHeight="1">
      <c r="B41" s="74"/>
      <c r="C41" s="75"/>
      <c r="D41" s="74"/>
      <c r="E41" s="75"/>
      <c r="F41" s="75"/>
      <c r="G41" s="76"/>
      <c r="H41" s="76"/>
      <c r="I41" s="76"/>
      <c r="J41" s="76"/>
      <c r="K41" s="32">
        <f t="shared" si="1"/>
        <v>0</v>
      </c>
      <c r="L41" s="76"/>
      <c r="N41" s="74"/>
      <c r="O41" s="15" t="s">
        <v>19</v>
      </c>
      <c r="P41" s="32"/>
      <c r="Q41" s="15" t="s">
        <v>18</v>
      </c>
    </row>
    <row r="42" ht="22.5" customHeight="1">
      <c r="B42" s="74"/>
      <c r="C42" s="75"/>
      <c r="D42" s="74"/>
      <c r="E42" s="75"/>
      <c r="F42" s="75"/>
      <c r="G42" s="76"/>
      <c r="H42" s="76"/>
      <c r="I42" s="76"/>
      <c r="J42" s="76"/>
      <c r="K42" s="32">
        <f t="shared" si="1"/>
        <v>0</v>
      </c>
      <c r="L42" s="76"/>
      <c r="N42" s="74"/>
      <c r="O42" s="15" t="s">
        <v>19</v>
      </c>
      <c r="P42" s="32"/>
      <c r="Q42" s="15" t="s">
        <v>18</v>
      </c>
    </row>
    <row r="43" ht="22.5" customHeight="1">
      <c r="B43" s="74"/>
      <c r="C43" s="75"/>
      <c r="D43" s="74"/>
      <c r="E43" s="75"/>
      <c r="F43" s="75"/>
      <c r="G43" s="76"/>
      <c r="H43" s="76"/>
      <c r="I43" s="76"/>
      <c r="J43" s="76"/>
      <c r="K43" s="32">
        <f t="shared" si="1"/>
        <v>0</v>
      </c>
      <c r="L43" s="76"/>
      <c r="N43" s="74"/>
      <c r="O43" s="15" t="s">
        <v>19</v>
      </c>
      <c r="P43" s="32"/>
      <c r="Q43" s="15" t="s">
        <v>18</v>
      </c>
    </row>
    <row r="44" ht="22.5" customHeight="1">
      <c r="B44" s="74"/>
      <c r="C44" s="75"/>
      <c r="D44" s="74"/>
      <c r="E44" s="75"/>
      <c r="F44" s="75"/>
      <c r="G44" s="76"/>
      <c r="H44" s="76"/>
      <c r="I44" s="76"/>
      <c r="J44" s="76"/>
      <c r="K44" s="32">
        <f t="shared" si="1"/>
        <v>0</v>
      </c>
      <c r="L44" s="76"/>
      <c r="N44" s="74"/>
      <c r="O44" s="15" t="s">
        <v>19</v>
      </c>
      <c r="P44" s="32"/>
      <c r="Q44" s="15" t="s">
        <v>18</v>
      </c>
    </row>
    <row r="45" ht="22.5" customHeight="1">
      <c r="B45" s="74"/>
      <c r="C45" s="75"/>
      <c r="D45" s="74"/>
      <c r="E45" s="75"/>
      <c r="F45" s="75"/>
      <c r="G45" s="76"/>
      <c r="H45" s="76"/>
      <c r="I45" s="76"/>
      <c r="J45" s="76"/>
      <c r="K45" s="32">
        <f t="shared" si="1"/>
        <v>0</v>
      </c>
      <c r="L45" s="76"/>
      <c r="N45" s="74"/>
      <c r="O45" s="15" t="s">
        <v>19</v>
      </c>
      <c r="P45" s="32"/>
      <c r="Q45" s="15" t="s">
        <v>18</v>
      </c>
    </row>
    <row r="46" ht="22.5" customHeight="1">
      <c r="B46" s="74"/>
      <c r="C46" s="75"/>
      <c r="D46" s="74"/>
      <c r="E46" s="75"/>
      <c r="F46" s="75"/>
      <c r="G46" s="76"/>
      <c r="H46" s="76"/>
      <c r="I46" s="76"/>
      <c r="J46" s="76"/>
      <c r="K46" s="32">
        <f t="shared" si="1"/>
        <v>0</v>
      </c>
      <c r="L46" s="76"/>
      <c r="N46" s="74"/>
      <c r="O46" s="15" t="s">
        <v>19</v>
      </c>
      <c r="P46" s="32"/>
      <c r="Q46" s="15" t="s">
        <v>18</v>
      </c>
    </row>
    <row r="47" ht="22.5" customHeight="1">
      <c r="B47" s="74"/>
      <c r="C47" s="75"/>
      <c r="D47" s="74"/>
      <c r="E47" s="75"/>
      <c r="F47" s="75"/>
      <c r="G47" s="76"/>
      <c r="H47" s="76"/>
      <c r="I47" s="76"/>
      <c r="J47" s="76"/>
      <c r="K47" s="32">
        <f t="shared" si="1"/>
        <v>0</v>
      </c>
      <c r="L47" s="76"/>
      <c r="N47" s="74"/>
      <c r="O47" s="15" t="s">
        <v>19</v>
      </c>
      <c r="P47" s="32"/>
      <c r="Q47" s="15" t="s">
        <v>18</v>
      </c>
    </row>
    <row r="48" ht="22.5" customHeight="1">
      <c r="B48" s="74"/>
      <c r="C48" s="75"/>
      <c r="D48" s="74"/>
      <c r="E48" s="75"/>
      <c r="F48" s="75"/>
      <c r="G48" s="76"/>
      <c r="H48" s="76"/>
      <c r="I48" s="76"/>
      <c r="J48" s="76"/>
      <c r="K48" s="32">
        <f t="shared" si="1"/>
        <v>0</v>
      </c>
      <c r="L48" s="76"/>
      <c r="N48" s="74"/>
      <c r="O48" s="15" t="s">
        <v>19</v>
      </c>
      <c r="P48" s="32"/>
      <c r="Q48" s="15" t="s">
        <v>18</v>
      </c>
    </row>
    <row r="49" ht="22.5" customHeight="1">
      <c r="B49" s="74"/>
      <c r="C49" s="75"/>
      <c r="D49" s="74"/>
      <c r="E49" s="75"/>
      <c r="F49" s="75"/>
      <c r="G49" s="76"/>
      <c r="H49" s="76"/>
      <c r="I49" s="76"/>
      <c r="J49" s="76"/>
      <c r="K49" s="32">
        <f t="shared" si="1"/>
        <v>0</v>
      </c>
      <c r="L49" s="76"/>
      <c r="N49" s="74"/>
      <c r="O49" s="15" t="s">
        <v>19</v>
      </c>
      <c r="P49" s="32"/>
      <c r="Q49" s="15" t="s">
        <v>18</v>
      </c>
    </row>
    <row r="50" ht="22.5" customHeight="1">
      <c r="B50" s="74"/>
      <c r="C50" s="75"/>
      <c r="D50" s="74"/>
      <c r="E50" s="75"/>
      <c r="F50" s="75"/>
      <c r="G50" s="76"/>
      <c r="H50" s="76"/>
      <c r="I50" s="76"/>
      <c r="J50" s="76"/>
      <c r="K50" s="32">
        <f t="shared" si="1"/>
        <v>0</v>
      </c>
      <c r="L50" s="76"/>
      <c r="N50" s="74"/>
      <c r="O50" s="15" t="s">
        <v>19</v>
      </c>
      <c r="P50" s="32"/>
      <c r="Q50" s="15" t="s">
        <v>18</v>
      </c>
    </row>
    <row r="51" ht="22.5" customHeight="1">
      <c r="B51" s="74"/>
      <c r="C51" s="75"/>
      <c r="D51" s="74"/>
      <c r="E51" s="75"/>
      <c r="F51" s="75"/>
      <c r="G51" s="76"/>
      <c r="H51" s="76"/>
      <c r="I51" s="76"/>
      <c r="J51" s="76"/>
      <c r="K51" s="32">
        <f t="shared" si="1"/>
        <v>0</v>
      </c>
      <c r="L51" s="76"/>
      <c r="N51" s="74"/>
      <c r="O51" s="15" t="s">
        <v>19</v>
      </c>
      <c r="P51" s="32"/>
      <c r="Q51" s="15" t="s">
        <v>18</v>
      </c>
    </row>
    <row r="52" ht="22.5" customHeight="1">
      <c r="B52" s="74"/>
      <c r="C52" s="75"/>
      <c r="D52" s="74"/>
      <c r="E52" s="75"/>
      <c r="F52" s="75"/>
      <c r="G52" s="76"/>
      <c r="H52" s="76"/>
      <c r="I52" s="76"/>
      <c r="J52" s="76"/>
      <c r="K52" s="32">
        <f t="shared" si="1"/>
        <v>0</v>
      </c>
      <c r="L52" s="76"/>
      <c r="N52" s="74"/>
      <c r="O52" s="15" t="s">
        <v>19</v>
      </c>
      <c r="P52" s="32"/>
      <c r="Q52" s="15" t="s">
        <v>18</v>
      </c>
    </row>
    <row r="53" ht="22.5" customHeight="1">
      <c r="B53" s="74"/>
      <c r="C53" s="75"/>
      <c r="D53" s="74"/>
      <c r="E53" s="75"/>
      <c r="F53" s="75"/>
      <c r="G53" s="76"/>
      <c r="H53" s="76"/>
      <c r="I53" s="76"/>
      <c r="J53" s="76"/>
      <c r="K53" s="32">
        <f t="shared" si="1"/>
        <v>0</v>
      </c>
      <c r="L53" s="76"/>
      <c r="N53" s="74"/>
      <c r="O53" s="15" t="s">
        <v>19</v>
      </c>
      <c r="P53" s="32"/>
      <c r="Q53" s="15" t="s">
        <v>18</v>
      </c>
    </row>
    <row r="54" ht="22.5" customHeight="1">
      <c r="B54" s="74"/>
      <c r="C54" s="75"/>
      <c r="D54" s="74"/>
      <c r="E54" s="75"/>
      <c r="F54" s="75"/>
      <c r="G54" s="76"/>
      <c r="H54" s="76"/>
      <c r="I54" s="76"/>
      <c r="J54" s="76"/>
      <c r="K54" s="32">
        <f t="shared" si="1"/>
        <v>0</v>
      </c>
      <c r="L54" s="76"/>
      <c r="N54" s="74"/>
      <c r="O54" s="15" t="s">
        <v>19</v>
      </c>
      <c r="P54" s="32"/>
      <c r="Q54" s="15" t="s">
        <v>18</v>
      </c>
    </row>
    <row r="55" ht="22.5" customHeight="1">
      <c r="B55" s="74"/>
      <c r="C55" s="75"/>
      <c r="D55" s="74"/>
      <c r="E55" s="75"/>
      <c r="F55" s="75"/>
      <c r="G55" s="76"/>
      <c r="H55" s="76"/>
      <c r="I55" s="76"/>
      <c r="J55" s="76"/>
      <c r="K55" s="32">
        <f t="shared" si="1"/>
        <v>0</v>
      </c>
      <c r="L55" s="76"/>
      <c r="N55" s="74"/>
      <c r="O55" s="15" t="s">
        <v>19</v>
      </c>
      <c r="P55" s="32"/>
      <c r="Q55" s="15" t="s">
        <v>18</v>
      </c>
    </row>
    <row r="56" ht="22.5" customHeight="1">
      <c r="B56" s="74"/>
      <c r="C56" s="75"/>
      <c r="D56" s="74"/>
      <c r="E56" s="75"/>
      <c r="F56" s="75"/>
      <c r="G56" s="76"/>
      <c r="H56" s="76"/>
      <c r="I56" s="76"/>
      <c r="J56" s="76"/>
      <c r="K56" s="32">
        <f t="shared" si="1"/>
        <v>0</v>
      </c>
      <c r="L56" s="76"/>
      <c r="N56" s="74"/>
      <c r="O56" s="15" t="s">
        <v>19</v>
      </c>
      <c r="P56" s="32"/>
      <c r="Q56" s="15" t="s">
        <v>18</v>
      </c>
    </row>
    <row r="57" ht="22.5" customHeight="1">
      <c r="B57" s="74"/>
      <c r="C57" s="75"/>
      <c r="D57" s="74"/>
      <c r="E57" s="75"/>
      <c r="F57" s="75"/>
      <c r="G57" s="76"/>
      <c r="H57" s="76"/>
      <c r="I57" s="76"/>
      <c r="J57" s="76"/>
      <c r="K57" s="32">
        <f t="shared" si="1"/>
        <v>0</v>
      </c>
      <c r="L57" s="76"/>
      <c r="N57" s="74"/>
      <c r="O57" s="15" t="s">
        <v>19</v>
      </c>
      <c r="P57" s="32"/>
      <c r="Q57" s="15" t="s">
        <v>18</v>
      </c>
    </row>
    <row r="58" ht="22.5" customHeight="1">
      <c r="B58" s="74"/>
      <c r="C58" s="75"/>
      <c r="D58" s="74"/>
      <c r="E58" s="75"/>
      <c r="F58" s="75"/>
      <c r="G58" s="76"/>
      <c r="H58" s="76"/>
      <c r="I58" s="76"/>
      <c r="J58" s="76"/>
      <c r="K58" s="32">
        <f t="shared" si="1"/>
        <v>0</v>
      </c>
      <c r="L58" s="76"/>
      <c r="N58" s="74"/>
      <c r="O58" s="15" t="s">
        <v>19</v>
      </c>
      <c r="P58" s="32"/>
      <c r="Q58" s="15" t="s">
        <v>18</v>
      </c>
    </row>
    <row r="59" ht="22.5" customHeight="1">
      <c r="B59" s="74"/>
      <c r="C59" s="75"/>
      <c r="D59" s="74"/>
      <c r="E59" s="75"/>
      <c r="F59" s="75"/>
      <c r="G59" s="76"/>
      <c r="H59" s="76"/>
      <c r="I59" s="76"/>
      <c r="J59" s="76"/>
      <c r="K59" s="32">
        <f t="shared" si="1"/>
        <v>0</v>
      </c>
      <c r="L59" s="76"/>
      <c r="N59" s="74"/>
      <c r="O59" s="15" t="s">
        <v>19</v>
      </c>
      <c r="P59" s="32"/>
      <c r="Q59" s="15" t="s">
        <v>18</v>
      </c>
    </row>
    <row r="60" ht="22.5" customHeight="1">
      <c r="B60" s="74"/>
      <c r="C60" s="75"/>
      <c r="D60" s="74"/>
      <c r="E60" s="75"/>
      <c r="F60" s="75"/>
      <c r="G60" s="76"/>
      <c r="H60" s="76"/>
      <c r="I60" s="76"/>
      <c r="J60" s="76"/>
      <c r="K60" s="32">
        <f t="shared" si="1"/>
        <v>0</v>
      </c>
      <c r="L60" s="76"/>
      <c r="N60" s="74"/>
      <c r="O60" s="15" t="s">
        <v>19</v>
      </c>
      <c r="P60" s="32"/>
      <c r="Q60" s="15" t="s">
        <v>18</v>
      </c>
    </row>
    <row r="61" ht="22.5" customHeight="1">
      <c r="B61" s="74"/>
      <c r="C61" s="75"/>
      <c r="D61" s="74"/>
      <c r="E61" s="75"/>
      <c r="F61" s="75"/>
      <c r="G61" s="76"/>
      <c r="H61" s="76"/>
      <c r="I61" s="76"/>
      <c r="J61" s="76"/>
      <c r="K61" s="32">
        <f t="shared" si="1"/>
        <v>0</v>
      </c>
      <c r="L61" s="76"/>
      <c r="N61" s="74"/>
      <c r="O61" s="15" t="s">
        <v>19</v>
      </c>
      <c r="P61" s="32"/>
      <c r="Q61" s="15" t="s">
        <v>18</v>
      </c>
    </row>
    <row r="62" ht="22.5" customHeight="1">
      <c r="B62" s="74"/>
      <c r="C62" s="75"/>
      <c r="D62" s="74"/>
      <c r="E62" s="75"/>
      <c r="F62" s="75"/>
      <c r="G62" s="76"/>
      <c r="H62" s="76"/>
      <c r="I62" s="76"/>
      <c r="J62" s="76"/>
      <c r="K62" s="32">
        <f t="shared" si="1"/>
        <v>0</v>
      </c>
      <c r="L62" s="76"/>
      <c r="N62" s="74"/>
      <c r="O62" s="15" t="s">
        <v>19</v>
      </c>
      <c r="P62" s="32"/>
      <c r="Q62" s="15" t="s">
        <v>18</v>
      </c>
    </row>
    <row r="63" ht="22.5" customHeight="1">
      <c r="B63" s="74"/>
      <c r="C63" s="75"/>
      <c r="D63" s="74"/>
      <c r="E63" s="75"/>
      <c r="F63" s="75"/>
      <c r="G63" s="76"/>
      <c r="H63" s="76"/>
      <c r="I63" s="76"/>
      <c r="J63" s="76"/>
      <c r="K63" s="32">
        <f t="shared" si="1"/>
        <v>0</v>
      </c>
      <c r="L63" s="76"/>
      <c r="N63" s="74"/>
      <c r="O63" s="15" t="s">
        <v>19</v>
      </c>
      <c r="P63" s="32"/>
      <c r="Q63" s="15" t="s">
        <v>18</v>
      </c>
    </row>
    <row r="64" ht="22.5" customHeight="1">
      <c r="B64" s="74"/>
      <c r="C64" s="75"/>
      <c r="D64" s="74"/>
      <c r="E64" s="75"/>
      <c r="F64" s="75"/>
      <c r="G64" s="76"/>
      <c r="H64" s="76"/>
      <c r="I64" s="76"/>
      <c r="J64" s="76"/>
      <c r="K64" s="32">
        <f t="shared" si="1"/>
        <v>0</v>
      </c>
      <c r="L64" s="76"/>
      <c r="N64" s="74"/>
      <c r="O64" s="15" t="s">
        <v>19</v>
      </c>
      <c r="P64" s="76"/>
    </row>
    <row r="65" ht="22.5" customHeight="1">
      <c r="B65" s="74"/>
      <c r="C65" s="75"/>
      <c r="D65" s="74"/>
      <c r="E65" s="75"/>
      <c r="F65" s="75"/>
      <c r="G65" s="76"/>
      <c r="H65" s="76"/>
      <c r="I65" s="76"/>
      <c r="J65" s="76"/>
      <c r="K65" s="32">
        <f t="shared" si="1"/>
        <v>0</v>
      </c>
      <c r="L65" s="76"/>
      <c r="N65" s="74"/>
      <c r="O65" s="15" t="s">
        <v>19</v>
      </c>
      <c r="P65" s="76"/>
    </row>
    <row r="66" ht="22.5" customHeight="1">
      <c r="B66" s="74"/>
      <c r="C66" s="75"/>
      <c r="D66" s="74"/>
      <c r="E66" s="75"/>
      <c r="F66" s="75"/>
      <c r="G66" s="76"/>
      <c r="H66" s="76"/>
      <c r="I66" s="76"/>
      <c r="J66" s="76"/>
      <c r="K66" s="32">
        <f t="shared" si="1"/>
        <v>0</v>
      </c>
      <c r="L66" s="76"/>
      <c r="N66" s="74"/>
      <c r="O66" s="15" t="s">
        <v>19</v>
      </c>
      <c r="P66" s="76"/>
    </row>
    <row r="67" ht="22.5" customHeight="1">
      <c r="B67" s="74"/>
      <c r="C67" s="75"/>
      <c r="D67" s="74"/>
      <c r="E67" s="75"/>
      <c r="F67" s="75"/>
      <c r="G67" s="76"/>
      <c r="H67" s="76"/>
      <c r="I67" s="76"/>
      <c r="J67" s="76"/>
      <c r="K67" s="32">
        <f t="shared" si="1"/>
        <v>0</v>
      </c>
      <c r="L67" s="76"/>
      <c r="N67" s="74"/>
      <c r="O67" s="15" t="s">
        <v>19</v>
      </c>
      <c r="P67" s="76"/>
    </row>
    <row r="68" ht="22.5" customHeight="1">
      <c r="B68" s="74"/>
      <c r="C68" s="75"/>
      <c r="D68" s="74"/>
      <c r="E68" s="75"/>
      <c r="F68" s="75"/>
      <c r="G68" s="76"/>
      <c r="H68" s="76"/>
      <c r="I68" s="76"/>
      <c r="J68" s="76"/>
      <c r="K68" s="32">
        <f t="shared" si="1"/>
        <v>0</v>
      </c>
      <c r="L68" s="76"/>
      <c r="N68" s="74"/>
      <c r="O68" s="15" t="s">
        <v>19</v>
      </c>
      <c r="P68" s="76"/>
    </row>
    <row r="69" ht="22.5" customHeight="1">
      <c r="B69" s="74"/>
      <c r="C69" s="75"/>
      <c r="D69" s="74"/>
      <c r="E69" s="75"/>
      <c r="F69" s="75"/>
      <c r="G69" s="76"/>
      <c r="H69" s="76"/>
      <c r="I69" s="76"/>
      <c r="J69" s="76"/>
      <c r="K69" s="32">
        <f t="shared" si="1"/>
        <v>0</v>
      </c>
      <c r="L69" s="76"/>
      <c r="N69" s="74"/>
      <c r="O69" s="15" t="s">
        <v>19</v>
      </c>
      <c r="P69" s="76"/>
    </row>
    <row r="70" ht="22.5" customHeight="1">
      <c r="B70" s="74"/>
      <c r="C70" s="75"/>
      <c r="D70" s="74"/>
      <c r="E70" s="75"/>
      <c r="F70" s="75"/>
      <c r="G70" s="76"/>
      <c r="H70" s="76"/>
      <c r="I70" s="76"/>
      <c r="J70" s="76"/>
      <c r="K70" s="32">
        <f t="shared" si="1"/>
        <v>0</v>
      </c>
      <c r="L70" s="76"/>
      <c r="N70" s="74"/>
      <c r="O70" s="15" t="s">
        <v>19</v>
      </c>
      <c r="P70" s="76"/>
    </row>
    <row r="71" ht="22.5" customHeight="1">
      <c r="B71" s="74"/>
      <c r="C71" s="75"/>
      <c r="D71" s="74"/>
      <c r="E71" s="75"/>
      <c r="F71" s="75"/>
      <c r="G71" s="76"/>
      <c r="H71" s="76"/>
      <c r="I71" s="76"/>
      <c r="J71" s="76"/>
      <c r="K71" s="32">
        <f t="shared" si="1"/>
        <v>0</v>
      </c>
      <c r="L71" s="76"/>
      <c r="N71" s="74"/>
      <c r="O71" s="15" t="s">
        <v>19</v>
      </c>
      <c r="P71" s="76"/>
    </row>
    <row r="72" ht="22.5" customHeight="1">
      <c r="B72" s="74"/>
      <c r="C72" s="75"/>
      <c r="D72" s="74"/>
      <c r="E72" s="75"/>
      <c r="F72" s="75"/>
      <c r="G72" s="76"/>
      <c r="H72" s="76"/>
      <c r="I72" s="76"/>
      <c r="J72" s="76"/>
      <c r="K72" s="32">
        <f t="shared" si="1"/>
        <v>0</v>
      </c>
      <c r="L72" s="76"/>
      <c r="N72" s="74"/>
      <c r="O72" s="15" t="s">
        <v>19</v>
      </c>
      <c r="P72" s="76"/>
    </row>
    <row r="73" ht="22.5" customHeight="1">
      <c r="B73" s="74"/>
      <c r="C73" s="75"/>
      <c r="D73" s="74"/>
      <c r="E73" s="75"/>
      <c r="F73" s="75"/>
      <c r="G73" s="76"/>
      <c r="H73" s="76"/>
      <c r="I73" s="76"/>
      <c r="J73" s="76"/>
      <c r="K73" s="32">
        <f t="shared" si="1"/>
        <v>0</v>
      </c>
      <c r="L73" s="76"/>
      <c r="N73" s="74"/>
      <c r="O73" s="15" t="s">
        <v>19</v>
      </c>
      <c r="P73" s="76"/>
    </row>
    <row r="74" ht="22.5" customHeight="1">
      <c r="B74" s="74"/>
      <c r="C74" s="75"/>
      <c r="D74" s="74"/>
      <c r="E74" s="75"/>
      <c r="F74" s="75"/>
      <c r="G74" s="76"/>
      <c r="H74" s="76"/>
      <c r="I74" s="76"/>
      <c r="J74" s="76"/>
      <c r="K74" s="32">
        <f t="shared" si="1"/>
        <v>0</v>
      </c>
      <c r="L74" s="76"/>
      <c r="N74" s="74"/>
      <c r="O74" s="15" t="s">
        <v>19</v>
      </c>
      <c r="P74" s="76"/>
    </row>
    <row r="75" ht="22.5" customHeight="1">
      <c r="B75" s="74"/>
      <c r="C75" s="75"/>
      <c r="D75" s="74"/>
      <c r="E75" s="75"/>
      <c r="F75" s="75"/>
      <c r="G75" s="76"/>
      <c r="H75" s="76"/>
      <c r="I75" s="76"/>
      <c r="J75" s="76"/>
      <c r="K75" s="32">
        <f t="shared" si="1"/>
        <v>0</v>
      </c>
      <c r="L75" s="76"/>
      <c r="N75" s="74"/>
      <c r="O75" s="15" t="s">
        <v>19</v>
      </c>
      <c r="P75" s="76"/>
    </row>
    <row r="76" ht="22.5" customHeight="1">
      <c r="B76" s="74"/>
      <c r="C76" s="75"/>
      <c r="D76" s="74"/>
      <c r="E76" s="75"/>
      <c r="F76" s="75"/>
      <c r="G76" s="76"/>
      <c r="H76" s="76"/>
      <c r="I76" s="76"/>
      <c r="J76" s="76"/>
      <c r="K76" s="32">
        <f t="shared" si="1"/>
        <v>0</v>
      </c>
      <c r="L76" s="76"/>
      <c r="N76" s="74"/>
      <c r="O76" s="15" t="s">
        <v>19</v>
      </c>
      <c r="P76" s="76"/>
    </row>
    <row r="77" ht="22.5" customHeight="1">
      <c r="B77" s="74"/>
      <c r="C77" s="75"/>
      <c r="D77" s="74"/>
      <c r="E77" s="75"/>
      <c r="F77" s="75"/>
      <c r="G77" s="76"/>
      <c r="H77" s="76"/>
      <c r="I77" s="76"/>
      <c r="J77" s="76"/>
      <c r="K77" s="32">
        <f t="shared" si="1"/>
        <v>0</v>
      </c>
      <c r="L77" s="76"/>
      <c r="N77" s="74"/>
      <c r="O77" s="15" t="s">
        <v>19</v>
      </c>
      <c r="P77" s="76"/>
    </row>
    <row r="78" ht="22.5" customHeight="1">
      <c r="B78" s="74"/>
      <c r="C78" s="75"/>
      <c r="D78" s="74"/>
      <c r="E78" s="75"/>
      <c r="F78" s="75"/>
      <c r="G78" s="76"/>
      <c r="H78" s="76"/>
      <c r="I78" s="76"/>
      <c r="J78" s="76"/>
      <c r="K78" s="32">
        <f t="shared" si="1"/>
        <v>0</v>
      </c>
      <c r="L78" s="76"/>
      <c r="N78" s="74"/>
      <c r="O78" s="15" t="s">
        <v>19</v>
      </c>
      <c r="P78" s="76"/>
    </row>
    <row r="79" ht="22.5" customHeight="1">
      <c r="B79" s="74"/>
      <c r="C79" s="75"/>
      <c r="D79" s="74"/>
      <c r="E79" s="75"/>
      <c r="F79" s="75"/>
      <c r="G79" s="76"/>
      <c r="H79" s="76"/>
      <c r="I79" s="76"/>
      <c r="J79" s="76"/>
      <c r="K79" s="32">
        <f t="shared" si="1"/>
        <v>0</v>
      </c>
      <c r="L79" s="76"/>
      <c r="N79" s="74"/>
      <c r="O79" s="15" t="s">
        <v>19</v>
      </c>
      <c r="P79" s="76"/>
    </row>
    <row r="80" ht="22.5" customHeight="1">
      <c r="B80" s="74"/>
      <c r="C80" s="75"/>
      <c r="D80" s="74"/>
      <c r="E80" s="75"/>
      <c r="F80" s="75"/>
      <c r="G80" s="76"/>
      <c r="H80" s="76"/>
      <c r="I80" s="76"/>
      <c r="J80" s="76"/>
      <c r="K80" s="32">
        <f t="shared" si="1"/>
        <v>0</v>
      </c>
      <c r="L80" s="76"/>
      <c r="N80" s="74"/>
      <c r="O80" s="15" t="s">
        <v>19</v>
      </c>
      <c r="P80" s="76"/>
    </row>
    <row r="81" ht="22.5" customHeight="1">
      <c r="B81" s="74"/>
      <c r="C81" s="75"/>
      <c r="D81" s="74"/>
      <c r="E81" s="75"/>
      <c r="F81" s="75"/>
      <c r="G81" s="76"/>
      <c r="H81" s="76"/>
      <c r="I81" s="76"/>
      <c r="J81" s="76"/>
      <c r="K81" s="32">
        <f t="shared" si="1"/>
        <v>0</v>
      </c>
      <c r="L81" s="76"/>
      <c r="N81" s="74"/>
      <c r="O81" s="15" t="s">
        <v>19</v>
      </c>
      <c r="P81" s="76"/>
    </row>
    <row r="82" ht="22.5" customHeight="1">
      <c r="B82" s="74"/>
      <c r="C82" s="75"/>
      <c r="D82" s="74"/>
      <c r="E82" s="75"/>
      <c r="F82" s="75"/>
      <c r="G82" s="76"/>
      <c r="H82" s="76"/>
      <c r="I82" s="76"/>
      <c r="J82" s="76"/>
      <c r="K82" s="32">
        <f t="shared" si="1"/>
        <v>0</v>
      </c>
      <c r="L82" s="76"/>
      <c r="N82" s="74"/>
      <c r="O82" s="15" t="s">
        <v>19</v>
      </c>
      <c r="P82" s="76"/>
    </row>
    <row r="83" ht="22.5" customHeight="1">
      <c r="B83" s="74"/>
      <c r="C83" s="75"/>
      <c r="D83" s="74"/>
      <c r="E83" s="75"/>
      <c r="F83" s="75"/>
      <c r="G83" s="76"/>
      <c r="H83" s="76"/>
      <c r="I83" s="76"/>
      <c r="J83" s="76"/>
      <c r="K83" s="32">
        <f t="shared" si="1"/>
        <v>0</v>
      </c>
      <c r="L83" s="76"/>
      <c r="N83" s="74"/>
      <c r="O83" s="15" t="s">
        <v>19</v>
      </c>
      <c r="P83" s="76"/>
    </row>
    <row r="84" ht="22.5" customHeight="1">
      <c r="B84" s="74"/>
      <c r="C84" s="75"/>
      <c r="D84" s="74"/>
      <c r="E84" s="75"/>
      <c r="F84" s="75"/>
      <c r="G84" s="76"/>
      <c r="H84" s="76"/>
      <c r="I84" s="76"/>
      <c r="J84" s="76"/>
      <c r="K84" s="32">
        <f t="shared" si="1"/>
        <v>0</v>
      </c>
      <c r="L84" s="76"/>
      <c r="N84" s="74"/>
      <c r="O84" s="15" t="s">
        <v>19</v>
      </c>
      <c r="P84" s="76"/>
    </row>
    <row r="85" ht="22.5" customHeight="1">
      <c r="B85" s="74"/>
      <c r="C85" s="75"/>
      <c r="D85" s="74"/>
      <c r="E85" s="75"/>
      <c r="F85" s="75"/>
      <c r="G85" s="76"/>
      <c r="H85" s="76"/>
      <c r="I85" s="76"/>
      <c r="J85" s="76"/>
      <c r="K85" s="32">
        <f t="shared" si="1"/>
        <v>0</v>
      </c>
      <c r="L85" s="76"/>
      <c r="N85" s="74"/>
      <c r="O85" s="15" t="s">
        <v>19</v>
      </c>
      <c r="P85" s="76"/>
    </row>
    <row r="86" ht="22.5" customHeight="1">
      <c r="B86" s="74"/>
      <c r="C86" s="75"/>
      <c r="D86" s="74"/>
      <c r="E86" s="75"/>
      <c r="F86" s="75"/>
      <c r="G86" s="76"/>
      <c r="H86" s="76"/>
      <c r="I86" s="76"/>
      <c r="J86" s="76"/>
      <c r="K86" s="32">
        <f t="shared" si="1"/>
        <v>0</v>
      </c>
      <c r="L86" s="76"/>
      <c r="N86" s="74"/>
      <c r="O86" s="15" t="s">
        <v>19</v>
      </c>
      <c r="P86" s="76"/>
    </row>
    <row r="87" ht="22.5" customHeight="1">
      <c r="B87" s="74"/>
      <c r="C87" s="75"/>
      <c r="D87" s="74"/>
      <c r="E87" s="75"/>
      <c r="F87" s="75"/>
      <c r="G87" s="76"/>
      <c r="H87" s="76"/>
      <c r="I87" s="76"/>
      <c r="J87" s="76"/>
      <c r="K87" s="32">
        <f t="shared" si="1"/>
        <v>0</v>
      </c>
      <c r="L87" s="76"/>
      <c r="N87" s="74"/>
      <c r="O87" s="15" t="s">
        <v>19</v>
      </c>
      <c r="P87" s="76"/>
    </row>
    <row r="88" ht="22.5" customHeight="1">
      <c r="B88" s="74"/>
      <c r="C88" s="75"/>
      <c r="D88" s="74"/>
      <c r="E88" s="75"/>
      <c r="F88" s="75"/>
      <c r="G88" s="76"/>
      <c r="H88" s="76"/>
      <c r="I88" s="76"/>
      <c r="J88" s="76"/>
      <c r="K88" s="32">
        <f t="shared" si="1"/>
        <v>0</v>
      </c>
      <c r="L88" s="76"/>
      <c r="N88" s="74"/>
      <c r="O88" s="15" t="s">
        <v>19</v>
      </c>
      <c r="P88" s="76"/>
    </row>
    <row r="89" ht="22.5" customHeight="1">
      <c r="B89" s="74"/>
      <c r="C89" s="75"/>
      <c r="D89" s="74"/>
      <c r="E89" s="75"/>
      <c r="F89" s="75"/>
      <c r="G89" s="76"/>
      <c r="H89" s="76"/>
      <c r="I89" s="76"/>
      <c r="J89" s="76"/>
      <c r="K89" s="32">
        <f t="shared" si="1"/>
        <v>0</v>
      </c>
      <c r="L89" s="76"/>
      <c r="N89" s="74"/>
      <c r="O89" s="15" t="s">
        <v>19</v>
      </c>
      <c r="P89" s="76"/>
    </row>
    <row r="90" ht="22.5" customHeight="1">
      <c r="B90" s="74"/>
      <c r="C90" s="75"/>
      <c r="D90" s="74"/>
      <c r="E90" s="75"/>
      <c r="F90" s="75"/>
      <c r="G90" s="76"/>
      <c r="H90" s="76"/>
      <c r="I90" s="76"/>
      <c r="J90" s="76"/>
      <c r="K90" s="32">
        <f t="shared" si="1"/>
        <v>0</v>
      </c>
      <c r="L90" s="76"/>
      <c r="N90" s="74"/>
      <c r="O90" s="15" t="s">
        <v>19</v>
      </c>
      <c r="P90" s="76"/>
    </row>
    <row r="91" ht="22.5" customHeight="1">
      <c r="B91" s="74"/>
      <c r="C91" s="75"/>
      <c r="D91" s="74"/>
      <c r="E91" s="75"/>
      <c r="F91" s="75"/>
      <c r="G91" s="76"/>
      <c r="H91" s="76"/>
      <c r="I91" s="76"/>
      <c r="J91" s="76"/>
      <c r="K91" s="32">
        <f t="shared" si="1"/>
        <v>0</v>
      </c>
      <c r="L91" s="76"/>
      <c r="N91" s="74"/>
      <c r="O91" s="15" t="s">
        <v>19</v>
      </c>
      <c r="P91" s="76"/>
    </row>
    <row r="92" ht="22.5" customHeight="1">
      <c r="B92" s="74"/>
      <c r="C92" s="75"/>
      <c r="D92" s="74"/>
      <c r="E92" s="75"/>
      <c r="F92" s="75"/>
      <c r="G92" s="76"/>
      <c r="H92" s="76"/>
      <c r="I92" s="76"/>
      <c r="J92" s="76"/>
      <c r="K92" s="32">
        <f t="shared" si="1"/>
        <v>0</v>
      </c>
      <c r="L92" s="76"/>
      <c r="N92" s="74"/>
      <c r="O92" s="15" t="s">
        <v>19</v>
      </c>
      <c r="P92" s="76"/>
    </row>
    <row r="93" ht="22.5" customHeight="1">
      <c r="B93" s="74"/>
      <c r="C93" s="75"/>
      <c r="D93" s="74"/>
      <c r="E93" s="75"/>
      <c r="F93" s="75"/>
      <c r="G93" s="76"/>
      <c r="H93" s="76"/>
      <c r="I93" s="76"/>
      <c r="J93" s="76"/>
      <c r="K93" s="32">
        <f t="shared" si="1"/>
        <v>0</v>
      </c>
      <c r="L93" s="76"/>
      <c r="N93" s="74"/>
      <c r="O93" s="15" t="s">
        <v>19</v>
      </c>
      <c r="P93" s="76"/>
    </row>
    <row r="94" ht="22.5" customHeight="1">
      <c r="B94" s="74"/>
      <c r="C94" s="75"/>
      <c r="D94" s="74"/>
      <c r="E94" s="75"/>
      <c r="F94" s="75"/>
      <c r="G94" s="76"/>
      <c r="H94" s="76"/>
      <c r="I94" s="76"/>
      <c r="J94" s="76"/>
      <c r="K94" s="32">
        <f t="shared" si="1"/>
        <v>0</v>
      </c>
      <c r="L94" s="76"/>
      <c r="N94" s="74"/>
      <c r="O94" s="15" t="s">
        <v>19</v>
      </c>
      <c r="P94" s="76"/>
    </row>
    <row r="95" ht="22.5" customHeight="1">
      <c r="B95" s="74"/>
      <c r="C95" s="75"/>
      <c r="D95" s="74"/>
      <c r="E95" s="75"/>
      <c r="F95" s="75"/>
      <c r="G95" s="76"/>
      <c r="H95" s="76"/>
      <c r="I95" s="76"/>
      <c r="J95" s="76"/>
      <c r="K95" s="32">
        <f t="shared" si="1"/>
        <v>0</v>
      </c>
      <c r="L95" s="76"/>
      <c r="N95" s="74"/>
      <c r="O95" s="15" t="s">
        <v>19</v>
      </c>
      <c r="P95" s="76"/>
    </row>
    <row r="96" ht="22.5" customHeight="1">
      <c r="B96" s="74"/>
      <c r="C96" s="75"/>
      <c r="D96" s="74"/>
      <c r="E96" s="75"/>
      <c r="F96" s="75"/>
      <c r="G96" s="76"/>
      <c r="H96" s="76"/>
      <c r="I96" s="76"/>
      <c r="J96" s="76"/>
      <c r="K96" s="32">
        <f t="shared" si="1"/>
        <v>0</v>
      </c>
      <c r="L96" s="76"/>
      <c r="N96" s="74"/>
      <c r="O96" s="15" t="s">
        <v>19</v>
      </c>
      <c r="P96" s="76"/>
    </row>
    <row r="97" ht="22.5" customHeight="1">
      <c r="B97" s="74"/>
      <c r="C97" s="75"/>
      <c r="D97" s="74"/>
      <c r="E97" s="75"/>
      <c r="F97" s="75"/>
      <c r="G97" s="76"/>
      <c r="H97" s="76"/>
      <c r="I97" s="76"/>
      <c r="J97" s="76"/>
      <c r="K97" s="32">
        <f t="shared" si="1"/>
        <v>0</v>
      </c>
      <c r="L97" s="76"/>
      <c r="N97" s="74"/>
      <c r="O97" s="15" t="s">
        <v>19</v>
      </c>
      <c r="P97" s="76"/>
    </row>
    <row r="98" ht="22.5" customHeight="1">
      <c r="B98" s="74"/>
      <c r="C98" s="75"/>
      <c r="D98" s="74"/>
      <c r="E98" s="75"/>
      <c r="F98" s="75"/>
      <c r="G98" s="76"/>
      <c r="H98" s="76"/>
      <c r="I98" s="76"/>
      <c r="J98" s="76"/>
      <c r="K98" s="32">
        <f t="shared" si="1"/>
        <v>0</v>
      </c>
      <c r="L98" s="76"/>
      <c r="N98" s="74"/>
      <c r="O98" s="15" t="s">
        <v>19</v>
      </c>
      <c r="P98" s="76"/>
    </row>
    <row r="99" ht="22.5" customHeight="1">
      <c r="B99" s="74"/>
      <c r="C99" s="75"/>
      <c r="D99" s="74"/>
      <c r="E99" s="75"/>
      <c r="F99" s="75"/>
      <c r="G99" s="76"/>
      <c r="H99" s="76"/>
      <c r="I99" s="76"/>
      <c r="J99" s="76"/>
      <c r="K99" s="32">
        <f t="shared" si="1"/>
        <v>0</v>
      </c>
      <c r="L99" s="76"/>
      <c r="N99" s="74"/>
      <c r="O99" s="15" t="s">
        <v>19</v>
      </c>
      <c r="P99" s="76"/>
    </row>
    <row r="100" ht="22.5" customHeight="1">
      <c r="B100" s="74"/>
      <c r="C100" s="75"/>
      <c r="D100" s="74"/>
      <c r="E100" s="75"/>
      <c r="F100" s="75"/>
      <c r="G100" s="76"/>
      <c r="H100" s="76"/>
      <c r="I100" s="76"/>
      <c r="J100" s="76"/>
      <c r="K100" s="32">
        <f t="shared" si="1"/>
        <v>0</v>
      </c>
      <c r="L100" s="76"/>
      <c r="N100" s="74"/>
      <c r="O100" s="15" t="s">
        <v>19</v>
      </c>
      <c r="P100" s="76"/>
    </row>
    <row r="101" ht="22.5" customHeight="1">
      <c r="B101" s="74"/>
      <c r="C101" s="75"/>
      <c r="D101" s="74"/>
      <c r="E101" s="75"/>
      <c r="F101" s="75"/>
      <c r="G101" s="76"/>
      <c r="H101" s="76"/>
      <c r="I101" s="76"/>
      <c r="J101" s="76"/>
      <c r="K101" s="32">
        <f t="shared" si="1"/>
        <v>0</v>
      </c>
      <c r="L101" s="76"/>
      <c r="N101" s="74"/>
      <c r="O101" s="15" t="s">
        <v>19</v>
      </c>
      <c r="P101" s="76"/>
    </row>
    <row r="102" ht="22.5" customHeight="1">
      <c r="B102" s="74"/>
      <c r="C102" s="75"/>
      <c r="D102" s="74"/>
      <c r="E102" s="75"/>
      <c r="F102" s="75"/>
      <c r="G102" s="76"/>
      <c r="H102" s="76"/>
      <c r="I102" s="76"/>
      <c r="J102" s="76"/>
      <c r="K102" s="32">
        <f t="shared" si="1"/>
        <v>0</v>
      </c>
      <c r="L102" s="76"/>
      <c r="N102" s="74"/>
      <c r="O102" s="15" t="s">
        <v>19</v>
      </c>
      <c r="P102" s="76"/>
    </row>
    <row r="103" ht="22.5" customHeight="1">
      <c r="B103" s="74"/>
      <c r="C103" s="75"/>
      <c r="D103" s="74"/>
      <c r="E103" s="75"/>
      <c r="F103" s="75"/>
      <c r="G103" s="76"/>
      <c r="H103" s="76"/>
      <c r="I103" s="76"/>
      <c r="J103" s="76"/>
      <c r="K103" s="32">
        <f t="shared" si="1"/>
        <v>0</v>
      </c>
      <c r="L103" s="76"/>
      <c r="N103" s="74"/>
      <c r="O103" s="15" t="s">
        <v>19</v>
      </c>
      <c r="P103" s="76"/>
    </row>
    <row r="104" ht="22.5" customHeight="1">
      <c r="B104" s="74"/>
      <c r="C104" s="75"/>
      <c r="D104" s="74"/>
      <c r="E104" s="75"/>
      <c r="F104" s="75"/>
      <c r="G104" s="76"/>
      <c r="H104" s="76"/>
      <c r="I104" s="76"/>
      <c r="J104" s="76"/>
      <c r="K104" s="32">
        <f t="shared" si="1"/>
        <v>0</v>
      </c>
      <c r="L104" s="76"/>
      <c r="N104" s="74"/>
      <c r="O104" s="15" t="s">
        <v>19</v>
      </c>
      <c r="P104" s="76"/>
    </row>
    <row r="105" ht="22.5" customHeight="1">
      <c r="B105" s="74"/>
      <c r="C105" s="75"/>
      <c r="D105" s="74"/>
      <c r="E105" s="75"/>
      <c r="F105" s="75"/>
      <c r="G105" s="76"/>
      <c r="H105" s="76"/>
      <c r="I105" s="76"/>
      <c r="J105" s="76"/>
      <c r="K105" s="32">
        <f t="shared" si="1"/>
        <v>0</v>
      </c>
      <c r="L105" s="76"/>
      <c r="N105" s="74"/>
      <c r="O105" s="15" t="s">
        <v>19</v>
      </c>
      <c r="P105" s="76"/>
    </row>
    <row r="106" ht="22.5" customHeight="1">
      <c r="B106" s="74"/>
      <c r="C106" s="75"/>
      <c r="D106" s="74"/>
      <c r="E106" s="75"/>
      <c r="F106" s="75"/>
      <c r="G106" s="76"/>
      <c r="H106" s="76"/>
      <c r="I106" s="76"/>
      <c r="J106" s="76"/>
      <c r="K106" s="32">
        <f t="shared" si="1"/>
        <v>0</v>
      </c>
      <c r="L106" s="76"/>
      <c r="N106" s="74"/>
      <c r="O106" s="15" t="s">
        <v>19</v>
      </c>
      <c r="P106" s="76"/>
    </row>
    <row r="107" ht="22.5" customHeight="1">
      <c r="B107" s="74"/>
      <c r="C107" s="75"/>
      <c r="D107" s="74"/>
      <c r="E107" s="75"/>
      <c r="F107" s="75"/>
      <c r="G107" s="76"/>
      <c r="H107" s="76"/>
      <c r="I107" s="76"/>
      <c r="J107" s="76"/>
      <c r="K107" s="32">
        <f t="shared" si="1"/>
        <v>0</v>
      </c>
      <c r="L107" s="76"/>
      <c r="N107" s="74"/>
      <c r="O107" s="15" t="s">
        <v>19</v>
      </c>
      <c r="P107" s="76"/>
    </row>
    <row r="108" ht="22.5" customHeight="1">
      <c r="B108" s="74"/>
      <c r="C108" s="75"/>
      <c r="D108" s="74"/>
      <c r="E108" s="75"/>
      <c r="F108" s="75"/>
      <c r="G108" s="76"/>
      <c r="H108" s="76"/>
      <c r="I108" s="76"/>
      <c r="J108" s="76"/>
      <c r="K108" s="32">
        <f t="shared" si="1"/>
        <v>0</v>
      </c>
      <c r="L108" s="76"/>
      <c r="N108" s="74"/>
      <c r="O108" s="15" t="s">
        <v>19</v>
      </c>
      <c r="P108" s="76"/>
    </row>
    <row r="109" ht="22.5" customHeight="1">
      <c r="B109" s="74"/>
      <c r="C109" s="75"/>
      <c r="D109" s="74"/>
      <c r="E109" s="75"/>
      <c r="F109" s="75"/>
      <c r="G109" s="76"/>
      <c r="H109" s="76"/>
      <c r="I109" s="76"/>
      <c r="J109" s="76"/>
      <c r="K109" s="32">
        <f t="shared" si="1"/>
        <v>0</v>
      </c>
      <c r="L109" s="76"/>
      <c r="N109" s="74"/>
      <c r="O109" s="15" t="s">
        <v>19</v>
      </c>
      <c r="P109" s="76"/>
    </row>
    <row r="110" ht="22.5" customHeight="1">
      <c r="B110" s="74"/>
      <c r="C110" s="75"/>
      <c r="D110" s="74"/>
      <c r="E110" s="75"/>
      <c r="F110" s="75"/>
      <c r="G110" s="76"/>
      <c r="H110" s="76"/>
      <c r="I110" s="76"/>
      <c r="J110" s="76"/>
      <c r="K110" s="32">
        <f t="shared" si="1"/>
        <v>0</v>
      </c>
      <c r="L110" s="76"/>
      <c r="N110" s="74"/>
      <c r="O110" s="15" t="s">
        <v>19</v>
      </c>
      <c r="P110" s="76"/>
    </row>
    <row r="111" ht="22.5" customHeight="1">
      <c r="B111" s="74"/>
      <c r="C111" s="75"/>
      <c r="D111" s="74"/>
      <c r="E111" s="75"/>
      <c r="F111" s="75"/>
      <c r="G111" s="76"/>
      <c r="H111" s="76"/>
      <c r="I111" s="76"/>
      <c r="J111" s="76"/>
      <c r="K111" s="32">
        <f t="shared" si="1"/>
        <v>0</v>
      </c>
      <c r="L111" s="76"/>
      <c r="N111" s="74"/>
      <c r="O111" s="15" t="s">
        <v>19</v>
      </c>
      <c r="P111" s="76"/>
    </row>
    <row r="112" ht="22.5" customHeight="1">
      <c r="B112" s="74"/>
      <c r="C112" s="75"/>
      <c r="D112" s="74"/>
      <c r="E112" s="75"/>
      <c r="F112" s="75"/>
      <c r="G112" s="76"/>
      <c r="H112" s="76"/>
      <c r="I112" s="76"/>
      <c r="J112" s="76"/>
      <c r="K112" s="32">
        <f t="shared" si="1"/>
        <v>0</v>
      </c>
      <c r="L112" s="76"/>
      <c r="N112" s="74"/>
      <c r="O112" s="15" t="s">
        <v>19</v>
      </c>
      <c r="P112" s="76"/>
    </row>
    <row r="113" ht="22.5" customHeight="1">
      <c r="B113" s="74"/>
      <c r="C113" s="75"/>
      <c r="D113" s="74"/>
      <c r="E113" s="75"/>
      <c r="F113" s="75"/>
      <c r="G113" s="76"/>
      <c r="H113" s="76"/>
      <c r="I113" s="76"/>
      <c r="J113" s="76"/>
      <c r="K113" s="32">
        <f t="shared" si="1"/>
        <v>0</v>
      </c>
      <c r="L113" s="76"/>
      <c r="N113" s="74"/>
      <c r="O113" s="15" t="s">
        <v>19</v>
      </c>
      <c r="P113" s="76"/>
    </row>
    <row r="114" ht="22.5" customHeight="1">
      <c r="B114" s="74"/>
      <c r="C114" s="75"/>
      <c r="D114" s="74"/>
      <c r="E114" s="75"/>
      <c r="F114" s="75"/>
      <c r="G114" s="76"/>
      <c r="H114" s="76"/>
      <c r="I114" s="76"/>
      <c r="J114" s="76"/>
      <c r="K114" s="32">
        <f t="shared" si="1"/>
        <v>0</v>
      </c>
      <c r="L114" s="76"/>
      <c r="N114" s="74"/>
      <c r="O114" s="15" t="s">
        <v>19</v>
      </c>
      <c r="P114" s="76"/>
    </row>
    <row r="115" ht="22.5" customHeight="1">
      <c r="B115" s="74"/>
      <c r="C115" s="75"/>
      <c r="D115" s="74"/>
      <c r="E115" s="75"/>
      <c r="F115" s="75"/>
      <c r="G115" s="76"/>
      <c r="H115" s="76"/>
      <c r="I115" s="76"/>
      <c r="J115" s="76"/>
      <c r="K115" s="32">
        <f t="shared" si="1"/>
        <v>0</v>
      </c>
      <c r="L115" s="76"/>
      <c r="N115" s="74"/>
      <c r="O115" s="15" t="s">
        <v>19</v>
      </c>
      <c r="P115" s="76"/>
    </row>
    <row r="116" ht="22.5" customHeight="1">
      <c r="B116" s="74"/>
      <c r="C116" s="75"/>
      <c r="D116" s="74"/>
      <c r="E116" s="75"/>
      <c r="F116" s="75"/>
      <c r="G116" s="76"/>
      <c r="H116" s="76"/>
      <c r="I116" s="76"/>
      <c r="J116" s="76"/>
      <c r="K116" s="32">
        <f t="shared" si="1"/>
        <v>0</v>
      </c>
      <c r="L116" s="76"/>
      <c r="N116" s="74"/>
      <c r="O116" s="15" t="s">
        <v>19</v>
      </c>
      <c r="P116" s="76"/>
    </row>
    <row r="117" ht="22.5" customHeight="1">
      <c r="B117" s="74"/>
      <c r="C117" s="75"/>
      <c r="D117" s="74"/>
      <c r="E117" s="75"/>
      <c r="F117" s="75"/>
      <c r="G117" s="76"/>
      <c r="H117" s="76"/>
      <c r="I117" s="76"/>
      <c r="J117" s="76"/>
      <c r="K117" s="32">
        <f t="shared" si="1"/>
        <v>0</v>
      </c>
      <c r="L117" s="76"/>
      <c r="N117" s="74"/>
      <c r="O117" s="15" t="s">
        <v>19</v>
      </c>
      <c r="P117" s="76"/>
    </row>
    <row r="118" ht="22.5" customHeight="1">
      <c r="B118" s="74"/>
      <c r="C118" s="75"/>
      <c r="D118" s="74"/>
      <c r="E118" s="75"/>
      <c r="F118" s="75"/>
      <c r="G118" s="76"/>
      <c r="H118" s="76"/>
      <c r="I118" s="76"/>
      <c r="J118" s="76"/>
      <c r="K118" s="32">
        <f t="shared" si="1"/>
        <v>0</v>
      </c>
      <c r="L118" s="76"/>
      <c r="N118" s="74"/>
      <c r="O118" s="15" t="s">
        <v>19</v>
      </c>
      <c r="P118" s="76"/>
    </row>
    <row r="119" ht="22.5" customHeight="1">
      <c r="B119" s="74"/>
      <c r="C119" s="75"/>
      <c r="D119" s="74"/>
      <c r="E119" s="75"/>
      <c r="F119" s="75"/>
      <c r="G119" s="76"/>
      <c r="H119" s="76"/>
      <c r="I119" s="76"/>
      <c r="J119" s="76"/>
      <c r="K119" s="32">
        <f t="shared" si="1"/>
        <v>0</v>
      </c>
      <c r="L119" s="76"/>
      <c r="N119" s="74"/>
      <c r="O119" s="15" t="s">
        <v>19</v>
      </c>
      <c r="P119" s="76"/>
    </row>
    <row r="120" ht="22.5" customHeight="1">
      <c r="B120" s="74"/>
      <c r="C120" s="75"/>
      <c r="D120" s="74"/>
      <c r="E120" s="75"/>
      <c r="F120" s="75"/>
      <c r="G120" s="76"/>
      <c r="H120" s="76"/>
      <c r="I120" s="76"/>
      <c r="J120" s="76"/>
      <c r="K120" s="32">
        <f t="shared" si="1"/>
        <v>0</v>
      </c>
      <c r="L120" s="76"/>
      <c r="N120" s="74"/>
      <c r="O120" s="15" t="s">
        <v>19</v>
      </c>
      <c r="P120" s="76"/>
    </row>
    <row r="121" ht="22.5" customHeight="1">
      <c r="B121" s="74"/>
      <c r="C121" s="75"/>
      <c r="D121" s="74"/>
      <c r="E121" s="75"/>
      <c r="F121" s="75"/>
      <c r="G121" s="76"/>
      <c r="H121" s="76"/>
      <c r="I121" s="76"/>
      <c r="J121" s="76"/>
      <c r="K121" s="32">
        <f t="shared" si="1"/>
        <v>0</v>
      </c>
      <c r="L121" s="76"/>
      <c r="N121" s="74"/>
      <c r="O121" s="15" t="s">
        <v>19</v>
      </c>
      <c r="P121" s="76"/>
    </row>
    <row r="122" ht="22.5" customHeight="1">
      <c r="B122" s="74"/>
      <c r="C122" s="75"/>
      <c r="D122" s="74"/>
      <c r="E122" s="75"/>
      <c r="F122" s="75"/>
      <c r="G122" s="76"/>
      <c r="H122" s="76"/>
      <c r="I122" s="76"/>
      <c r="J122" s="76"/>
      <c r="K122" s="32">
        <f t="shared" si="1"/>
        <v>0</v>
      </c>
      <c r="L122" s="76"/>
      <c r="N122" s="74"/>
      <c r="O122" s="15" t="s">
        <v>19</v>
      </c>
      <c r="P122" s="76"/>
    </row>
    <row r="123" ht="22.5" customHeight="1">
      <c r="B123" s="74"/>
      <c r="C123" s="75"/>
      <c r="D123" s="74"/>
      <c r="E123" s="75"/>
      <c r="F123" s="75"/>
      <c r="G123" s="76"/>
      <c r="H123" s="76"/>
      <c r="I123" s="76"/>
      <c r="J123" s="76"/>
      <c r="K123" s="32">
        <f t="shared" si="1"/>
        <v>0</v>
      </c>
      <c r="L123" s="76"/>
      <c r="N123" s="74"/>
      <c r="O123" s="15" t="s">
        <v>19</v>
      </c>
      <c r="P123" s="76"/>
    </row>
    <row r="124" ht="22.5" customHeight="1">
      <c r="B124" s="74"/>
      <c r="C124" s="75"/>
      <c r="D124" s="74"/>
      <c r="E124" s="75"/>
      <c r="F124" s="75"/>
      <c r="G124" s="76"/>
      <c r="H124" s="76"/>
      <c r="I124" s="76"/>
      <c r="J124" s="76"/>
      <c r="K124" s="32">
        <f t="shared" si="1"/>
        <v>0</v>
      </c>
      <c r="L124" s="76"/>
      <c r="N124" s="74"/>
      <c r="O124" s="15" t="s">
        <v>19</v>
      </c>
      <c r="P124" s="76"/>
    </row>
    <row r="125" ht="22.5" customHeight="1">
      <c r="B125" s="74"/>
      <c r="C125" s="75"/>
      <c r="D125" s="74"/>
      <c r="E125" s="75"/>
      <c r="F125" s="75"/>
      <c r="G125" s="76"/>
      <c r="H125" s="76"/>
      <c r="I125" s="76"/>
      <c r="J125" s="76"/>
      <c r="K125" s="32">
        <f t="shared" si="1"/>
        <v>0</v>
      </c>
      <c r="L125" s="76"/>
      <c r="N125" s="74"/>
      <c r="O125" s="15" t="s">
        <v>19</v>
      </c>
      <c r="P125" s="76"/>
    </row>
    <row r="126" ht="22.5" customHeight="1">
      <c r="B126" s="74"/>
      <c r="C126" s="75"/>
      <c r="D126" s="74"/>
      <c r="E126" s="75"/>
      <c r="F126" s="75"/>
      <c r="G126" s="76"/>
      <c r="H126" s="76"/>
      <c r="I126" s="76"/>
      <c r="J126" s="76"/>
      <c r="K126" s="32">
        <f t="shared" si="1"/>
        <v>0</v>
      </c>
      <c r="L126" s="76"/>
      <c r="N126" s="74"/>
      <c r="O126" s="15" t="s">
        <v>19</v>
      </c>
      <c r="P126" s="76"/>
    </row>
    <row r="127" ht="22.5" customHeight="1">
      <c r="B127" s="74"/>
      <c r="C127" s="75"/>
      <c r="D127" s="74"/>
      <c r="E127" s="75"/>
      <c r="F127" s="75"/>
      <c r="G127" s="76"/>
      <c r="H127" s="76"/>
      <c r="I127" s="76"/>
      <c r="J127" s="76"/>
      <c r="K127" s="32">
        <f t="shared" si="1"/>
        <v>0</v>
      </c>
      <c r="L127" s="76"/>
      <c r="N127" s="74"/>
      <c r="O127" s="15" t="s">
        <v>19</v>
      </c>
      <c r="P127" s="76"/>
    </row>
    <row r="128" ht="22.5" customHeight="1">
      <c r="B128" s="74"/>
      <c r="C128" s="75"/>
      <c r="D128" s="74"/>
      <c r="E128" s="75"/>
      <c r="F128" s="75"/>
      <c r="G128" s="76"/>
      <c r="H128" s="76"/>
      <c r="I128" s="76"/>
      <c r="J128" s="76"/>
      <c r="K128" s="32">
        <f t="shared" si="1"/>
        <v>0</v>
      </c>
      <c r="L128" s="76"/>
      <c r="N128" s="74"/>
      <c r="O128" s="15" t="s">
        <v>19</v>
      </c>
      <c r="P128" s="76"/>
    </row>
    <row r="129" ht="22.5" customHeight="1">
      <c r="B129" s="74"/>
      <c r="C129" s="75"/>
      <c r="D129" s="74"/>
      <c r="E129" s="75"/>
      <c r="F129" s="75"/>
      <c r="G129" s="76"/>
      <c r="H129" s="76"/>
      <c r="I129" s="76"/>
      <c r="J129" s="76"/>
      <c r="K129" s="32">
        <f t="shared" si="1"/>
        <v>0</v>
      </c>
      <c r="L129" s="76"/>
      <c r="N129" s="74"/>
      <c r="O129" s="15" t="s">
        <v>19</v>
      </c>
      <c r="P129" s="76"/>
    </row>
    <row r="130" ht="22.5" customHeight="1">
      <c r="B130" s="74"/>
      <c r="C130" s="75"/>
      <c r="D130" s="74"/>
      <c r="E130" s="75"/>
      <c r="F130" s="75"/>
      <c r="G130" s="76"/>
      <c r="H130" s="76"/>
      <c r="I130" s="76"/>
      <c r="J130" s="76"/>
      <c r="K130" s="32">
        <f t="shared" si="1"/>
        <v>0</v>
      </c>
      <c r="L130" s="76"/>
      <c r="N130" s="74"/>
      <c r="O130" s="15" t="s">
        <v>19</v>
      </c>
      <c r="P130" s="76"/>
    </row>
    <row r="131" ht="22.5" customHeight="1">
      <c r="B131" s="74"/>
      <c r="C131" s="75"/>
      <c r="D131" s="74"/>
      <c r="E131" s="75"/>
      <c r="F131" s="75"/>
      <c r="G131" s="76"/>
      <c r="H131" s="76"/>
      <c r="I131" s="76"/>
      <c r="J131" s="76"/>
      <c r="K131" s="32">
        <f t="shared" si="1"/>
        <v>0</v>
      </c>
      <c r="L131" s="76"/>
      <c r="N131" s="74"/>
      <c r="O131" s="15" t="s">
        <v>19</v>
      </c>
      <c r="P131" s="76"/>
    </row>
    <row r="132" ht="22.5" customHeight="1">
      <c r="B132" s="74"/>
      <c r="C132" s="75"/>
      <c r="D132" s="74"/>
      <c r="E132" s="75"/>
      <c r="F132" s="75"/>
      <c r="G132" s="76"/>
      <c r="H132" s="76"/>
      <c r="I132" s="76"/>
      <c r="J132" s="76"/>
      <c r="K132" s="32">
        <f t="shared" si="1"/>
        <v>0</v>
      </c>
      <c r="L132" s="76"/>
      <c r="N132" s="74"/>
      <c r="O132" s="15" t="s">
        <v>19</v>
      </c>
      <c r="P132" s="76"/>
    </row>
    <row r="133" ht="22.5" customHeight="1">
      <c r="B133" s="74"/>
      <c r="C133" s="75"/>
      <c r="D133" s="74"/>
      <c r="E133" s="75"/>
      <c r="F133" s="75"/>
      <c r="G133" s="76"/>
      <c r="H133" s="76"/>
      <c r="I133" s="76"/>
      <c r="J133" s="76"/>
      <c r="K133" s="32">
        <f t="shared" si="1"/>
        <v>0</v>
      </c>
      <c r="L133" s="76"/>
      <c r="N133" s="74"/>
      <c r="O133" s="15" t="s">
        <v>19</v>
      </c>
      <c r="P133" s="76"/>
    </row>
    <row r="134" ht="22.5" customHeight="1">
      <c r="B134" s="74"/>
      <c r="C134" s="75"/>
      <c r="D134" s="74"/>
      <c r="E134" s="75"/>
      <c r="F134" s="75"/>
      <c r="G134" s="76"/>
      <c r="H134" s="76"/>
      <c r="I134" s="76"/>
      <c r="J134" s="76"/>
      <c r="K134" s="32">
        <f t="shared" si="1"/>
        <v>0</v>
      </c>
      <c r="L134" s="76"/>
      <c r="N134" s="74"/>
      <c r="O134" s="15" t="s">
        <v>19</v>
      </c>
      <c r="P134" s="76"/>
    </row>
    <row r="135" ht="22.5" customHeight="1">
      <c r="B135" s="74"/>
      <c r="C135" s="75"/>
      <c r="D135" s="74"/>
      <c r="E135" s="75"/>
      <c r="F135" s="75"/>
      <c r="G135" s="76"/>
      <c r="H135" s="76"/>
      <c r="I135" s="76"/>
      <c r="J135" s="76"/>
      <c r="K135" s="32">
        <f t="shared" si="1"/>
        <v>0</v>
      </c>
      <c r="L135" s="76"/>
      <c r="N135" s="74"/>
      <c r="O135" s="15" t="s">
        <v>19</v>
      </c>
      <c r="P135" s="76"/>
    </row>
    <row r="136" ht="22.5" customHeight="1">
      <c r="B136" s="74"/>
      <c r="C136" s="75"/>
      <c r="D136" s="74"/>
      <c r="E136" s="75"/>
      <c r="F136" s="75"/>
      <c r="G136" s="76"/>
      <c r="H136" s="76"/>
      <c r="I136" s="76"/>
      <c r="J136" s="76"/>
      <c r="K136" s="32">
        <f t="shared" si="1"/>
        <v>0</v>
      </c>
      <c r="L136" s="76"/>
      <c r="N136" s="74"/>
      <c r="O136" s="15" t="s">
        <v>19</v>
      </c>
      <c r="P136" s="76"/>
    </row>
    <row r="137" ht="22.5" customHeight="1">
      <c r="B137" s="74"/>
      <c r="C137" s="75"/>
      <c r="D137" s="74"/>
      <c r="E137" s="75"/>
      <c r="F137" s="75"/>
      <c r="G137" s="76"/>
      <c r="H137" s="76"/>
      <c r="I137" s="76"/>
      <c r="J137" s="76"/>
      <c r="K137" s="32">
        <f t="shared" si="1"/>
        <v>0</v>
      </c>
      <c r="L137" s="76"/>
      <c r="N137" s="74"/>
      <c r="O137" s="15" t="s">
        <v>19</v>
      </c>
      <c r="P137" s="76"/>
    </row>
    <row r="138" ht="22.5" customHeight="1">
      <c r="B138" s="74"/>
      <c r="C138" s="75"/>
      <c r="D138" s="74"/>
      <c r="E138" s="75"/>
      <c r="F138" s="75"/>
      <c r="G138" s="76"/>
      <c r="H138" s="76"/>
      <c r="I138" s="76"/>
      <c r="J138" s="76"/>
      <c r="K138" s="32">
        <f t="shared" si="1"/>
        <v>0</v>
      </c>
      <c r="L138" s="76"/>
      <c r="N138" s="74"/>
      <c r="O138" s="15" t="s">
        <v>19</v>
      </c>
      <c r="P138" s="76"/>
    </row>
    <row r="139" ht="22.5" customHeight="1">
      <c r="B139" s="74"/>
      <c r="C139" s="75"/>
      <c r="D139" s="74"/>
      <c r="E139" s="75"/>
      <c r="F139" s="75"/>
      <c r="G139" s="76"/>
      <c r="H139" s="76"/>
      <c r="I139" s="76"/>
      <c r="J139" s="76"/>
      <c r="K139" s="76"/>
      <c r="L139" s="76"/>
      <c r="N139" s="74"/>
      <c r="O139" s="15" t="s">
        <v>19</v>
      </c>
      <c r="P139" s="76"/>
    </row>
    <row r="140" ht="22.5" customHeight="1">
      <c r="B140" s="74"/>
      <c r="C140" s="75"/>
      <c r="D140" s="74"/>
      <c r="E140" s="75"/>
      <c r="F140" s="75"/>
      <c r="G140" s="76"/>
      <c r="H140" s="76"/>
      <c r="I140" s="76"/>
      <c r="J140" s="76"/>
      <c r="K140" s="76"/>
      <c r="L140" s="76"/>
      <c r="N140" s="74"/>
      <c r="O140" s="15" t="s">
        <v>19</v>
      </c>
      <c r="P140" s="76"/>
    </row>
    <row r="141" ht="22.5" customHeight="1">
      <c r="B141" s="74"/>
      <c r="C141" s="75"/>
      <c r="D141" s="74"/>
      <c r="E141" s="75"/>
      <c r="F141" s="75"/>
      <c r="G141" s="76"/>
      <c r="H141" s="76"/>
      <c r="I141" s="76"/>
      <c r="J141" s="76"/>
      <c r="K141" s="76"/>
      <c r="L141" s="76"/>
      <c r="N141" s="74"/>
      <c r="O141" s="15" t="s">
        <v>19</v>
      </c>
      <c r="P141" s="76"/>
    </row>
    <row r="142">
      <c r="D142" s="58"/>
    </row>
    <row r="143">
      <c r="D143" s="58"/>
    </row>
    <row r="144">
      <c r="D144" s="58"/>
    </row>
    <row r="145">
      <c r="D145" s="58"/>
    </row>
    <row r="146">
      <c r="D146" s="58"/>
    </row>
    <row r="147">
      <c r="D147" s="58"/>
    </row>
    <row r="148">
      <c r="D148" s="58"/>
    </row>
    <row r="149">
      <c r="D149" s="58"/>
    </row>
    <row r="150">
      <c r="D150" s="58"/>
    </row>
    <row r="151">
      <c r="D151" s="58"/>
    </row>
    <row r="152">
      <c r="D152" s="58"/>
    </row>
    <row r="153">
      <c r="D153" s="58"/>
    </row>
    <row r="154">
      <c r="D154" s="58"/>
    </row>
    <row r="155">
      <c r="D155" s="58"/>
    </row>
    <row r="156">
      <c r="D156" s="58"/>
    </row>
    <row r="157">
      <c r="D157" s="58"/>
    </row>
    <row r="158">
      <c r="D158" s="58"/>
    </row>
    <row r="159">
      <c r="D159" s="58"/>
    </row>
    <row r="160">
      <c r="D160" s="58"/>
    </row>
    <row r="161">
      <c r="D161" s="58"/>
    </row>
    <row r="162">
      <c r="D162" s="58"/>
    </row>
    <row r="163">
      <c r="D163" s="58"/>
    </row>
    <row r="164">
      <c r="D164" s="58"/>
    </row>
    <row r="165">
      <c r="D165" s="58"/>
    </row>
    <row r="166">
      <c r="D166" s="58"/>
    </row>
    <row r="167">
      <c r="D167" s="58"/>
    </row>
    <row r="168">
      <c r="D168" s="58"/>
    </row>
    <row r="169">
      <c r="D169" s="58"/>
    </row>
    <row r="170">
      <c r="D170" s="58"/>
    </row>
    <row r="171">
      <c r="D171" s="58"/>
    </row>
    <row r="172">
      <c r="D172" s="58"/>
    </row>
    <row r="173">
      <c r="D173" s="58"/>
    </row>
    <row r="174">
      <c r="D174" s="58"/>
    </row>
    <row r="175">
      <c r="D175" s="58"/>
    </row>
    <row r="176">
      <c r="D176" s="58"/>
    </row>
    <row r="177">
      <c r="D177" s="58"/>
    </row>
    <row r="178">
      <c r="D178" s="58"/>
    </row>
    <row r="179">
      <c r="D179" s="58"/>
    </row>
    <row r="180">
      <c r="D180" s="58"/>
    </row>
    <row r="181">
      <c r="D181" s="58"/>
    </row>
    <row r="182">
      <c r="D182" s="58"/>
    </row>
    <row r="183">
      <c r="D183" s="58"/>
    </row>
    <row r="184">
      <c r="D184" s="58"/>
    </row>
    <row r="185">
      <c r="D185" s="58"/>
    </row>
    <row r="186">
      <c r="D186" s="58"/>
    </row>
    <row r="187">
      <c r="D187" s="58"/>
    </row>
    <row r="188">
      <c r="D188" s="58"/>
    </row>
    <row r="189">
      <c r="D189" s="58"/>
    </row>
    <row r="190">
      <c r="D190" s="58"/>
    </row>
    <row r="191">
      <c r="D191" s="58"/>
    </row>
    <row r="192">
      <c r="D192" s="58"/>
    </row>
    <row r="193">
      <c r="D193" s="58"/>
    </row>
    <row r="194">
      <c r="D194" s="58"/>
    </row>
    <row r="195">
      <c r="D195" s="58"/>
    </row>
    <row r="196">
      <c r="D196" s="58"/>
    </row>
    <row r="197">
      <c r="D197" s="58"/>
    </row>
    <row r="198">
      <c r="D198" s="58"/>
    </row>
    <row r="199">
      <c r="D199" s="58"/>
    </row>
    <row r="200">
      <c r="D200" s="58"/>
    </row>
    <row r="201">
      <c r="D201" s="58"/>
    </row>
    <row r="202">
      <c r="D202" s="58"/>
    </row>
    <row r="203">
      <c r="D203" s="58"/>
    </row>
    <row r="204">
      <c r="D204" s="58"/>
    </row>
    <row r="205">
      <c r="D205" s="58"/>
    </row>
    <row r="206">
      <c r="D206" s="58"/>
    </row>
    <row r="207">
      <c r="D207" s="58"/>
    </row>
    <row r="208">
      <c r="D208" s="58"/>
    </row>
    <row r="209">
      <c r="D209" s="58"/>
    </row>
    <row r="210">
      <c r="D210" s="58"/>
    </row>
    <row r="211">
      <c r="D211" s="58"/>
    </row>
    <row r="212">
      <c r="D212" s="58"/>
    </row>
    <row r="213">
      <c r="D213" s="58"/>
    </row>
    <row r="214">
      <c r="D214" s="58"/>
    </row>
    <row r="215">
      <c r="D215" s="58"/>
    </row>
    <row r="216">
      <c r="D216" s="58"/>
    </row>
    <row r="217">
      <c r="D217" s="58"/>
    </row>
    <row r="218">
      <c r="D218" s="58"/>
    </row>
    <row r="219">
      <c r="D219" s="58"/>
    </row>
    <row r="220">
      <c r="D220" s="58"/>
    </row>
    <row r="221">
      <c r="D221" s="58"/>
    </row>
    <row r="222">
      <c r="D222" s="58"/>
    </row>
    <row r="223">
      <c r="D223" s="58"/>
    </row>
    <row r="224">
      <c r="D224" s="58"/>
    </row>
    <row r="225">
      <c r="D225" s="58"/>
    </row>
    <row r="226">
      <c r="D226" s="58"/>
    </row>
    <row r="227">
      <c r="D227" s="58"/>
    </row>
    <row r="228">
      <c r="D228" s="58"/>
    </row>
    <row r="229">
      <c r="D229" s="58"/>
    </row>
    <row r="230">
      <c r="D230" s="58"/>
    </row>
    <row r="231">
      <c r="D231" s="58"/>
    </row>
    <row r="232">
      <c r="D232" s="58"/>
    </row>
    <row r="233">
      <c r="D233" s="58"/>
    </row>
    <row r="234">
      <c r="D234" s="58"/>
    </row>
    <row r="235">
      <c r="D235" s="58"/>
    </row>
    <row r="236">
      <c r="D236" s="58"/>
    </row>
    <row r="237">
      <c r="D237" s="58"/>
    </row>
    <row r="238">
      <c r="D238" s="58"/>
    </row>
    <row r="239">
      <c r="D239" s="58"/>
    </row>
    <row r="240">
      <c r="D240" s="58"/>
    </row>
    <row r="241">
      <c r="D241" s="58"/>
    </row>
    <row r="242">
      <c r="D242" s="58"/>
    </row>
    <row r="243">
      <c r="D243" s="58"/>
    </row>
    <row r="244">
      <c r="D244" s="58"/>
    </row>
    <row r="245">
      <c r="D245" s="58"/>
    </row>
    <row r="246">
      <c r="D246" s="58"/>
    </row>
    <row r="247">
      <c r="D247" s="58"/>
    </row>
    <row r="248">
      <c r="D248" s="58"/>
    </row>
    <row r="249">
      <c r="D249" s="58"/>
    </row>
    <row r="250">
      <c r="D250" s="58"/>
    </row>
    <row r="251">
      <c r="D251" s="58"/>
    </row>
    <row r="252">
      <c r="D252" s="58"/>
    </row>
    <row r="253">
      <c r="D253" s="58"/>
    </row>
    <row r="254">
      <c r="D254" s="58"/>
    </row>
    <row r="255">
      <c r="D255" s="58"/>
    </row>
    <row r="256">
      <c r="D256" s="58"/>
    </row>
    <row r="257">
      <c r="D257" s="58"/>
    </row>
    <row r="258">
      <c r="D258" s="58"/>
    </row>
    <row r="259">
      <c r="D259" s="58"/>
    </row>
    <row r="260">
      <c r="D260" s="58"/>
    </row>
    <row r="261">
      <c r="D261" s="58"/>
    </row>
    <row r="262">
      <c r="D262" s="58"/>
    </row>
    <row r="263">
      <c r="D263" s="58"/>
    </row>
    <row r="264">
      <c r="D264" s="58"/>
    </row>
    <row r="265">
      <c r="D265" s="58"/>
    </row>
    <row r="266">
      <c r="D266" s="58"/>
    </row>
    <row r="267">
      <c r="D267" s="58"/>
    </row>
    <row r="268">
      <c r="D268" s="58"/>
    </row>
    <row r="269">
      <c r="D269" s="58"/>
    </row>
    <row r="270">
      <c r="D270" s="58"/>
    </row>
    <row r="271">
      <c r="D271" s="58"/>
    </row>
    <row r="272">
      <c r="D272" s="58"/>
    </row>
    <row r="273">
      <c r="D273" s="58"/>
    </row>
    <row r="274">
      <c r="D274" s="58"/>
    </row>
    <row r="275">
      <c r="D275" s="58"/>
    </row>
    <row r="276">
      <c r="D276" s="58"/>
    </row>
    <row r="277">
      <c r="D277" s="58"/>
    </row>
    <row r="278">
      <c r="D278" s="58"/>
    </row>
    <row r="279">
      <c r="D279" s="58"/>
    </row>
    <row r="280">
      <c r="D280" s="58"/>
    </row>
    <row r="281">
      <c r="D281" s="58"/>
    </row>
    <row r="282">
      <c r="D282" s="58"/>
    </row>
    <row r="283">
      <c r="D283" s="58"/>
    </row>
    <row r="284">
      <c r="D284" s="58"/>
    </row>
    <row r="285">
      <c r="D285" s="58"/>
    </row>
    <row r="286">
      <c r="D286" s="58"/>
    </row>
    <row r="287">
      <c r="D287" s="58"/>
    </row>
    <row r="288">
      <c r="D288" s="58"/>
    </row>
    <row r="289">
      <c r="D289" s="58"/>
    </row>
    <row r="290">
      <c r="D290" s="58"/>
    </row>
    <row r="291">
      <c r="D291" s="58"/>
    </row>
    <row r="292">
      <c r="D292" s="58"/>
    </row>
    <row r="293">
      <c r="D293" s="58"/>
    </row>
    <row r="294">
      <c r="D294" s="58"/>
    </row>
    <row r="295">
      <c r="D295" s="58"/>
    </row>
    <row r="296">
      <c r="D296" s="58"/>
    </row>
    <row r="297">
      <c r="D297" s="58"/>
    </row>
    <row r="298">
      <c r="D298" s="58"/>
    </row>
    <row r="299">
      <c r="D299" s="58"/>
    </row>
    <row r="300">
      <c r="D300" s="58"/>
    </row>
    <row r="301">
      <c r="D301" s="58"/>
    </row>
    <row r="302">
      <c r="D302" s="58"/>
    </row>
    <row r="303">
      <c r="D303" s="58"/>
    </row>
    <row r="304">
      <c r="D304" s="58"/>
    </row>
    <row r="305">
      <c r="D305" s="58"/>
    </row>
    <row r="306">
      <c r="D306" s="58"/>
    </row>
    <row r="307">
      <c r="D307" s="58"/>
    </row>
    <row r="308">
      <c r="D308" s="58"/>
    </row>
    <row r="309">
      <c r="D309" s="58"/>
    </row>
    <row r="310">
      <c r="D310" s="58"/>
    </row>
    <row r="311">
      <c r="D311" s="58"/>
    </row>
    <row r="312">
      <c r="D312" s="58"/>
    </row>
    <row r="313">
      <c r="D313" s="58"/>
    </row>
    <row r="314">
      <c r="D314" s="58"/>
    </row>
    <row r="315">
      <c r="D315" s="58"/>
    </row>
    <row r="316">
      <c r="D316" s="58"/>
    </row>
    <row r="317">
      <c r="D317" s="58"/>
    </row>
    <row r="318">
      <c r="D318" s="58"/>
    </row>
    <row r="319">
      <c r="D319" s="58"/>
    </row>
    <row r="320">
      <c r="D320" s="58"/>
    </row>
    <row r="321">
      <c r="D321" s="58"/>
    </row>
    <row r="322">
      <c r="D322" s="58"/>
    </row>
    <row r="323">
      <c r="D323" s="58"/>
    </row>
    <row r="324">
      <c r="D324" s="58"/>
    </row>
    <row r="325">
      <c r="D325" s="58"/>
    </row>
    <row r="326">
      <c r="D326" s="58"/>
    </row>
    <row r="327">
      <c r="D327" s="58"/>
    </row>
    <row r="328">
      <c r="D328" s="58"/>
    </row>
    <row r="329">
      <c r="D329" s="58"/>
    </row>
    <row r="330">
      <c r="D330" s="58"/>
    </row>
    <row r="331">
      <c r="D331" s="58"/>
    </row>
    <row r="332">
      <c r="D332" s="58"/>
    </row>
    <row r="333">
      <c r="D333" s="58"/>
    </row>
    <row r="334">
      <c r="D334" s="58"/>
    </row>
    <row r="335">
      <c r="D335" s="58"/>
    </row>
    <row r="336">
      <c r="D336" s="58"/>
    </row>
    <row r="337">
      <c r="D337" s="58"/>
    </row>
    <row r="338">
      <c r="D338" s="58"/>
    </row>
    <row r="339">
      <c r="D339" s="58"/>
    </row>
    <row r="340">
      <c r="D340" s="58"/>
    </row>
    <row r="341">
      <c r="D341" s="58"/>
    </row>
    <row r="342">
      <c r="D342" s="58"/>
    </row>
    <row r="343">
      <c r="D343" s="58"/>
    </row>
    <row r="344">
      <c r="D344" s="58"/>
    </row>
    <row r="345">
      <c r="D345" s="58"/>
    </row>
    <row r="346">
      <c r="D346" s="58"/>
    </row>
    <row r="347">
      <c r="D347" s="58"/>
    </row>
    <row r="348">
      <c r="D348" s="58"/>
    </row>
    <row r="349">
      <c r="D349" s="58"/>
    </row>
    <row r="350">
      <c r="D350" s="58"/>
    </row>
    <row r="351">
      <c r="D351" s="58"/>
    </row>
    <row r="352">
      <c r="D352" s="58"/>
    </row>
    <row r="353">
      <c r="D353" s="58"/>
    </row>
    <row r="354">
      <c r="D354" s="58"/>
    </row>
    <row r="355">
      <c r="D355" s="58"/>
    </row>
    <row r="356">
      <c r="D356" s="58"/>
    </row>
    <row r="357">
      <c r="D357" s="58"/>
    </row>
    <row r="358">
      <c r="D358" s="58"/>
    </row>
    <row r="359">
      <c r="D359" s="58"/>
    </row>
    <row r="360">
      <c r="D360" s="58"/>
    </row>
    <row r="361">
      <c r="D361" s="58"/>
    </row>
    <row r="362">
      <c r="D362" s="58"/>
    </row>
    <row r="363">
      <c r="D363" s="58"/>
    </row>
    <row r="364">
      <c r="D364" s="58"/>
    </row>
    <row r="365">
      <c r="D365" s="58"/>
    </row>
    <row r="366">
      <c r="D366" s="58"/>
    </row>
    <row r="367">
      <c r="D367" s="58"/>
    </row>
    <row r="368">
      <c r="D368" s="58"/>
    </row>
    <row r="369">
      <c r="D369" s="58"/>
    </row>
    <row r="370">
      <c r="D370" s="58"/>
    </row>
    <row r="371">
      <c r="D371" s="58"/>
    </row>
    <row r="372">
      <c r="D372" s="58"/>
    </row>
    <row r="373">
      <c r="D373" s="58"/>
    </row>
    <row r="374">
      <c r="D374" s="58"/>
    </row>
    <row r="375">
      <c r="D375" s="58"/>
    </row>
    <row r="376">
      <c r="D376" s="58"/>
    </row>
    <row r="377">
      <c r="D377" s="58"/>
    </row>
    <row r="378">
      <c r="D378" s="58"/>
    </row>
    <row r="379">
      <c r="D379" s="58"/>
    </row>
    <row r="380">
      <c r="D380" s="58"/>
    </row>
    <row r="381">
      <c r="D381" s="58"/>
    </row>
    <row r="382">
      <c r="D382" s="58"/>
    </row>
    <row r="383">
      <c r="D383" s="58"/>
    </row>
    <row r="384">
      <c r="D384" s="58"/>
    </row>
    <row r="385">
      <c r="D385" s="58"/>
    </row>
    <row r="386">
      <c r="D386" s="58"/>
    </row>
    <row r="387">
      <c r="D387" s="58"/>
    </row>
    <row r="388">
      <c r="D388" s="58"/>
    </row>
    <row r="389">
      <c r="D389" s="58"/>
    </row>
    <row r="390">
      <c r="D390" s="58"/>
    </row>
    <row r="391">
      <c r="D391" s="58"/>
    </row>
    <row r="392">
      <c r="D392" s="58"/>
    </row>
    <row r="393">
      <c r="D393" s="58"/>
    </row>
    <row r="394">
      <c r="D394" s="58"/>
    </row>
    <row r="395">
      <c r="D395" s="58"/>
    </row>
    <row r="396">
      <c r="D396" s="58"/>
    </row>
    <row r="397">
      <c r="D397" s="58"/>
    </row>
    <row r="398">
      <c r="D398" s="58"/>
    </row>
    <row r="399">
      <c r="D399" s="58"/>
    </row>
    <row r="400">
      <c r="D400" s="58"/>
    </row>
    <row r="401">
      <c r="D401" s="58"/>
    </row>
    <row r="402">
      <c r="D402" s="58"/>
    </row>
    <row r="403">
      <c r="D403" s="58"/>
    </row>
    <row r="404">
      <c r="D404" s="58"/>
    </row>
    <row r="405">
      <c r="D405" s="58"/>
    </row>
    <row r="406">
      <c r="D406" s="58"/>
    </row>
    <row r="407">
      <c r="D407" s="58"/>
    </row>
    <row r="408">
      <c r="D408" s="58"/>
    </row>
    <row r="409">
      <c r="D409" s="58"/>
    </row>
    <row r="410">
      <c r="D410" s="58"/>
    </row>
    <row r="411">
      <c r="D411" s="58"/>
    </row>
    <row r="412">
      <c r="D412" s="58"/>
    </row>
    <row r="413">
      <c r="D413" s="58"/>
    </row>
    <row r="414">
      <c r="D414" s="58"/>
    </row>
    <row r="415">
      <c r="D415" s="58"/>
    </row>
    <row r="416">
      <c r="D416" s="58"/>
    </row>
    <row r="417">
      <c r="D417" s="58"/>
    </row>
    <row r="418">
      <c r="D418" s="58"/>
    </row>
    <row r="419">
      <c r="D419" s="58"/>
    </row>
    <row r="420">
      <c r="D420" s="58"/>
    </row>
    <row r="421">
      <c r="D421" s="58"/>
    </row>
    <row r="422">
      <c r="D422" s="58"/>
    </row>
    <row r="423">
      <c r="D423" s="58"/>
    </row>
    <row r="424">
      <c r="D424" s="58"/>
    </row>
    <row r="425">
      <c r="D425" s="58"/>
    </row>
    <row r="426">
      <c r="D426" s="58"/>
    </row>
    <row r="427">
      <c r="D427" s="58"/>
    </row>
    <row r="428">
      <c r="D428" s="58"/>
    </row>
    <row r="429">
      <c r="D429" s="58"/>
    </row>
    <row r="430">
      <c r="D430" s="58"/>
    </row>
    <row r="431">
      <c r="D431" s="58"/>
    </row>
    <row r="432">
      <c r="D432" s="58"/>
    </row>
    <row r="433">
      <c r="D433" s="58"/>
    </row>
    <row r="434">
      <c r="D434" s="58"/>
    </row>
    <row r="435">
      <c r="D435" s="58"/>
    </row>
    <row r="436">
      <c r="D436" s="58"/>
    </row>
    <row r="437">
      <c r="D437" s="58"/>
    </row>
    <row r="438">
      <c r="D438" s="58"/>
    </row>
    <row r="439">
      <c r="D439" s="58"/>
    </row>
    <row r="440">
      <c r="D440" s="58"/>
    </row>
    <row r="441">
      <c r="D441" s="58"/>
    </row>
    <row r="442">
      <c r="D442" s="58"/>
    </row>
    <row r="443">
      <c r="D443" s="58"/>
    </row>
    <row r="444">
      <c r="D444" s="58"/>
    </row>
    <row r="445">
      <c r="D445" s="58"/>
    </row>
    <row r="446">
      <c r="D446" s="58"/>
    </row>
    <row r="447">
      <c r="D447" s="58"/>
    </row>
    <row r="448">
      <c r="D448" s="58"/>
    </row>
    <row r="449">
      <c r="D449" s="58"/>
    </row>
    <row r="450">
      <c r="D450" s="58"/>
    </row>
    <row r="451">
      <c r="D451" s="58"/>
    </row>
    <row r="452">
      <c r="D452" s="58"/>
    </row>
    <row r="453">
      <c r="D453" s="58"/>
    </row>
    <row r="454">
      <c r="D454" s="58"/>
    </row>
    <row r="455">
      <c r="D455" s="58"/>
    </row>
    <row r="456">
      <c r="D456" s="58"/>
    </row>
    <row r="457">
      <c r="D457" s="58"/>
    </row>
    <row r="458">
      <c r="D458" s="58"/>
    </row>
    <row r="459">
      <c r="D459" s="58"/>
    </row>
    <row r="460">
      <c r="D460" s="58"/>
    </row>
    <row r="461">
      <c r="D461" s="58"/>
    </row>
    <row r="462">
      <c r="D462" s="58"/>
    </row>
    <row r="463">
      <c r="D463" s="58"/>
    </row>
    <row r="464">
      <c r="D464" s="58"/>
    </row>
    <row r="465">
      <c r="D465" s="58"/>
    </row>
    <row r="466">
      <c r="D466" s="58"/>
    </row>
    <row r="467">
      <c r="D467" s="58"/>
    </row>
    <row r="468">
      <c r="D468" s="58"/>
    </row>
    <row r="469">
      <c r="D469" s="58"/>
    </row>
    <row r="470">
      <c r="D470" s="58"/>
    </row>
    <row r="471">
      <c r="D471" s="58"/>
    </row>
    <row r="472">
      <c r="D472" s="58"/>
    </row>
    <row r="473">
      <c r="D473" s="58"/>
    </row>
    <row r="474">
      <c r="D474" s="58"/>
    </row>
    <row r="475">
      <c r="D475" s="58"/>
    </row>
    <row r="476">
      <c r="D476" s="58"/>
    </row>
    <row r="477">
      <c r="D477" s="58"/>
    </row>
    <row r="478">
      <c r="D478" s="58"/>
    </row>
    <row r="479">
      <c r="D479" s="58"/>
    </row>
    <row r="480">
      <c r="D480" s="58"/>
    </row>
    <row r="481">
      <c r="D481" s="58"/>
    </row>
    <row r="482">
      <c r="D482" s="58"/>
    </row>
    <row r="483">
      <c r="D483" s="58"/>
    </row>
    <row r="484">
      <c r="D484" s="58"/>
    </row>
    <row r="485">
      <c r="D485" s="58"/>
    </row>
    <row r="486">
      <c r="D486" s="58"/>
    </row>
    <row r="487">
      <c r="D487" s="58"/>
    </row>
    <row r="488">
      <c r="D488" s="58"/>
    </row>
    <row r="489">
      <c r="D489" s="58"/>
    </row>
    <row r="490">
      <c r="D490" s="58"/>
    </row>
    <row r="491">
      <c r="D491" s="58"/>
    </row>
    <row r="492">
      <c r="D492" s="58"/>
    </row>
    <row r="493">
      <c r="D493" s="58"/>
    </row>
    <row r="494">
      <c r="D494" s="58"/>
    </row>
    <row r="495">
      <c r="D495" s="58"/>
    </row>
    <row r="496">
      <c r="D496" s="58"/>
    </row>
    <row r="497">
      <c r="D497" s="58"/>
    </row>
    <row r="498">
      <c r="D498" s="58"/>
    </row>
    <row r="499">
      <c r="D499" s="58"/>
    </row>
    <row r="500">
      <c r="D500" s="58"/>
    </row>
    <row r="501">
      <c r="D501" s="58"/>
    </row>
    <row r="502">
      <c r="D502" s="58"/>
    </row>
    <row r="503">
      <c r="D503" s="58"/>
    </row>
    <row r="504">
      <c r="D504" s="58"/>
    </row>
    <row r="505">
      <c r="D505" s="58"/>
    </row>
    <row r="506">
      <c r="D506" s="58"/>
    </row>
    <row r="507">
      <c r="D507" s="58"/>
    </row>
    <row r="508">
      <c r="D508" s="58"/>
    </row>
    <row r="509">
      <c r="D509" s="58"/>
    </row>
    <row r="510">
      <c r="D510" s="58"/>
    </row>
    <row r="511">
      <c r="D511" s="58"/>
    </row>
    <row r="512">
      <c r="D512" s="58"/>
    </row>
    <row r="513">
      <c r="D513" s="58"/>
    </row>
    <row r="514">
      <c r="D514" s="58"/>
    </row>
    <row r="515">
      <c r="D515" s="58"/>
    </row>
    <row r="516">
      <c r="D516" s="58"/>
    </row>
    <row r="517">
      <c r="D517" s="58"/>
    </row>
    <row r="518">
      <c r="D518" s="58"/>
    </row>
    <row r="519">
      <c r="D519" s="58"/>
    </row>
    <row r="520">
      <c r="D520" s="58"/>
    </row>
    <row r="521">
      <c r="D521" s="58"/>
    </row>
    <row r="522">
      <c r="D522" s="58"/>
    </row>
    <row r="523">
      <c r="D523" s="58"/>
    </row>
    <row r="524">
      <c r="D524" s="58"/>
    </row>
    <row r="525">
      <c r="D525" s="58"/>
    </row>
    <row r="526">
      <c r="D526" s="58"/>
    </row>
    <row r="527">
      <c r="D527" s="58"/>
    </row>
    <row r="528">
      <c r="D528" s="58"/>
    </row>
    <row r="529">
      <c r="D529" s="58"/>
    </row>
    <row r="530">
      <c r="D530" s="58"/>
    </row>
    <row r="531">
      <c r="D531" s="58"/>
    </row>
    <row r="532">
      <c r="D532" s="58"/>
    </row>
    <row r="533">
      <c r="D533" s="58"/>
    </row>
    <row r="534">
      <c r="D534" s="58"/>
    </row>
    <row r="535">
      <c r="D535" s="58"/>
    </row>
    <row r="536">
      <c r="D536" s="58"/>
    </row>
    <row r="537">
      <c r="D537" s="58"/>
    </row>
    <row r="538">
      <c r="D538" s="58"/>
    </row>
    <row r="539">
      <c r="D539" s="58"/>
    </row>
    <row r="540">
      <c r="D540" s="58"/>
    </row>
    <row r="541">
      <c r="D541" s="58"/>
    </row>
    <row r="542">
      <c r="D542" s="58"/>
    </row>
    <row r="543">
      <c r="D543" s="58"/>
    </row>
    <row r="544">
      <c r="D544" s="58"/>
    </row>
    <row r="545">
      <c r="D545" s="58"/>
    </row>
    <row r="546">
      <c r="D546" s="58"/>
    </row>
    <row r="547">
      <c r="D547" s="58"/>
    </row>
    <row r="548">
      <c r="D548" s="58"/>
    </row>
    <row r="549">
      <c r="D549" s="58"/>
    </row>
    <row r="550">
      <c r="D550" s="58"/>
    </row>
    <row r="551">
      <c r="D551" s="58"/>
    </row>
    <row r="552">
      <c r="D552" s="58"/>
    </row>
    <row r="553">
      <c r="D553" s="58"/>
    </row>
    <row r="554">
      <c r="D554" s="58"/>
    </row>
    <row r="555">
      <c r="D555" s="58"/>
    </row>
    <row r="556">
      <c r="D556" s="58"/>
    </row>
    <row r="557">
      <c r="D557" s="58"/>
    </row>
    <row r="558">
      <c r="D558" s="58"/>
    </row>
    <row r="559">
      <c r="D559" s="58"/>
    </row>
    <row r="560">
      <c r="D560" s="58"/>
    </row>
    <row r="561">
      <c r="D561" s="58"/>
    </row>
    <row r="562">
      <c r="D562" s="58"/>
    </row>
    <row r="563">
      <c r="D563" s="58"/>
    </row>
    <row r="564">
      <c r="D564" s="58"/>
    </row>
    <row r="565">
      <c r="D565" s="58"/>
    </row>
    <row r="566">
      <c r="D566" s="58"/>
    </row>
    <row r="567">
      <c r="D567" s="58"/>
    </row>
    <row r="568">
      <c r="D568" s="58"/>
    </row>
    <row r="569">
      <c r="D569" s="58"/>
    </row>
    <row r="570">
      <c r="D570" s="58"/>
    </row>
    <row r="571">
      <c r="D571" s="58"/>
    </row>
    <row r="572">
      <c r="D572" s="58"/>
    </row>
    <row r="573">
      <c r="D573" s="58"/>
    </row>
    <row r="574">
      <c r="D574" s="58"/>
    </row>
    <row r="575">
      <c r="D575" s="58"/>
    </row>
    <row r="576">
      <c r="D576" s="58"/>
    </row>
    <row r="577">
      <c r="D577" s="58"/>
    </row>
    <row r="578">
      <c r="D578" s="58"/>
    </row>
    <row r="579">
      <c r="D579" s="58"/>
    </row>
    <row r="580">
      <c r="D580" s="58"/>
    </row>
    <row r="581">
      <c r="D581" s="58"/>
    </row>
    <row r="582">
      <c r="D582" s="58"/>
    </row>
    <row r="583">
      <c r="D583" s="58"/>
    </row>
    <row r="584">
      <c r="D584" s="58"/>
    </row>
    <row r="585">
      <c r="D585" s="58"/>
    </row>
    <row r="586">
      <c r="D586" s="58"/>
    </row>
    <row r="587">
      <c r="D587" s="58"/>
    </row>
    <row r="588">
      <c r="D588" s="58"/>
    </row>
    <row r="589">
      <c r="D589" s="58"/>
    </row>
    <row r="590">
      <c r="D590" s="58"/>
    </row>
    <row r="591">
      <c r="D591" s="58"/>
    </row>
    <row r="592">
      <c r="D592" s="58"/>
    </row>
    <row r="593">
      <c r="D593" s="58"/>
    </row>
    <row r="594">
      <c r="D594" s="58"/>
    </row>
    <row r="595">
      <c r="D595" s="58"/>
    </row>
    <row r="596">
      <c r="D596" s="58"/>
    </row>
    <row r="597">
      <c r="D597" s="58"/>
    </row>
    <row r="598">
      <c r="D598" s="58"/>
    </row>
    <row r="599">
      <c r="D599" s="58"/>
    </row>
    <row r="600">
      <c r="D600" s="58"/>
    </row>
    <row r="601">
      <c r="D601" s="58"/>
    </row>
    <row r="602">
      <c r="D602" s="58"/>
    </row>
    <row r="603">
      <c r="D603" s="58"/>
    </row>
    <row r="604">
      <c r="D604" s="58"/>
    </row>
    <row r="605">
      <c r="D605" s="58"/>
    </row>
    <row r="606">
      <c r="D606" s="58"/>
    </row>
    <row r="607">
      <c r="D607" s="58"/>
    </row>
    <row r="608">
      <c r="D608" s="58"/>
    </row>
    <row r="609">
      <c r="D609" s="58"/>
    </row>
    <row r="610">
      <c r="D610" s="58"/>
    </row>
    <row r="611">
      <c r="D611" s="58"/>
    </row>
    <row r="612">
      <c r="D612" s="58"/>
    </row>
    <row r="613">
      <c r="D613" s="58"/>
    </row>
    <row r="614">
      <c r="D614" s="58"/>
    </row>
    <row r="615">
      <c r="D615" s="58"/>
    </row>
    <row r="616">
      <c r="D616" s="58"/>
    </row>
    <row r="617">
      <c r="D617" s="58"/>
    </row>
    <row r="618">
      <c r="D618" s="58"/>
    </row>
    <row r="619">
      <c r="D619" s="58"/>
    </row>
    <row r="620">
      <c r="D620" s="58"/>
    </row>
    <row r="621">
      <c r="D621" s="58"/>
    </row>
    <row r="622">
      <c r="D622" s="58"/>
    </row>
    <row r="623">
      <c r="D623" s="58"/>
    </row>
    <row r="624">
      <c r="D624" s="58"/>
    </row>
    <row r="625">
      <c r="D625" s="58"/>
    </row>
    <row r="626">
      <c r="D626" s="58"/>
    </row>
    <row r="627">
      <c r="D627" s="58"/>
    </row>
    <row r="628">
      <c r="D628" s="58"/>
    </row>
    <row r="629">
      <c r="D629" s="58"/>
    </row>
    <row r="630">
      <c r="D630" s="58"/>
    </row>
    <row r="631">
      <c r="D631" s="58"/>
    </row>
    <row r="632">
      <c r="D632" s="58"/>
    </row>
    <row r="633">
      <c r="D633" s="58"/>
    </row>
    <row r="634">
      <c r="D634" s="58"/>
    </row>
    <row r="635">
      <c r="D635" s="58"/>
    </row>
    <row r="636">
      <c r="D636" s="58"/>
    </row>
    <row r="637">
      <c r="D637" s="58"/>
    </row>
    <row r="638">
      <c r="D638" s="58"/>
    </row>
    <row r="639">
      <c r="D639" s="58"/>
    </row>
    <row r="640">
      <c r="D640" s="58"/>
    </row>
    <row r="641">
      <c r="D641" s="58"/>
    </row>
    <row r="642">
      <c r="D642" s="58"/>
    </row>
    <row r="643">
      <c r="D643" s="58"/>
    </row>
    <row r="644">
      <c r="D644" s="58"/>
    </row>
    <row r="645">
      <c r="D645" s="58"/>
    </row>
    <row r="646">
      <c r="D646" s="58"/>
    </row>
    <row r="647">
      <c r="D647" s="58"/>
    </row>
    <row r="648">
      <c r="D648" s="58"/>
    </row>
    <row r="649">
      <c r="D649" s="58"/>
    </row>
    <row r="650">
      <c r="D650" s="58"/>
    </row>
    <row r="651">
      <c r="D651" s="58"/>
    </row>
    <row r="652">
      <c r="D652" s="58"/>
    </row>
    <row r="653">
      <c r="D653" s="58"/>
    </row>
    <row r="654">
      <c r="D654" s="58"/>
    </row>
    <row r="655">
      <c r="D655" s="58"/>
    </row>
    <row r="656">
      <c r="D656" s="58"/>
    </row>
    <row r="657">
      <c r="D657" s="58"/>
    </row>
    <row r="658">
      <c r="D658" s="58"/>
    </row>
    <row r="659">
      <c r="D659" s="58"/>
    </row>
    <row r="660">
      <c r="D660" s="58"/>
    </row>
    <row r="661">
      <c r="D661" s="58"/>
    </row>
    <row r="662">
      <c r="D662" s="58"/>
    </row>
    <row r="663">
      <c r="D663" s="58"/>
    </row>
    <row r="664">
      <c r="D664" s="58"/>
    </row>
    <row r="665">
      <c r="D665" s="58"/>
    </row>
    <row r="666">
      <c r="D666" s="58"/>
    </row>
    <row r="667">
      <c r="D667" s="58"/>
    </row>
    <row r="668">
      <c r="D668" s="58"/>
    </row>
    <row r="669">
      <c r="D669" s="58"/>
    </row>
    <row r="670">
      <c r="D670" s="58"/>
    </row>
    <row r="671">
      <c r="D671" s="58"/>
    </row>
    <row r="672">
      <c r="D672" s="58"/>
    </row>
    <row r="673">
      <c r="D673" s="58"/>
    </row>
    <row r="674">
      <c r="D674" s="58"/>
    </row>
    <row r="675">
      <c r="D675" s="58"/>
    </row>
    <row r="676">
      <c r="D676" s="58"/>
    </row>
    <row r="677">
      <c r="D677" s="58"/>
    </row>
    <row r="678">
      <c r="D678" s="58"/>
    </row>
    <row r="679">
      <c r="D679" s="58"/>
    </row>
    <row r="680">
      <c r="D680" s="58"/>
    </row>
    <row r="681">
      <c r="D681" s="58"/>
    </row>
    <row r="682">
      <c r="D682" s="58"/>
    </row>
    <row r="683">
      <c r="D683" s="58"/>
    </row>
    <row r="684">
      <c r="D684" s="58"/>
    </row>
    <row r="685">
      <c r="D685" s="58"/>
    </row>
    <row r="686">
      <c r="D686" s="58"/>
    </row>
    <row r="687">
      <c r="D687" s="58"/>
    </row>
    <row r="688">
      <c r="D688" s="58"/>
    </row>
    <row r="689">
      <c r="D689" s="58"/>
    </row>
    <row r="690">
      <c r="D690" s="58"/>
    </row>
    <row r="691">
      <c r="D691" s="58"/>
    </row>
    <row r="692">
      <c r="D692" s="58"/>
    </row>
    <row r="693">
      <c r="D693" s="58"/>
    </row>
    <row r="694">
      <c r="D694" s="58"/>
    </row>
    <row r="695">
      <c r="D695" s="58"/>
    </row>
    <row r="696">
      <c r="D696" s="58"/>
    </row>
    <row r="697">
      <c r="D697" s="58"/>
    </row>
    <row r="698">
      <c r="D698" s="58"/>
    </row>
    <row r="699">
      <c r="D699" s="58"/>
    </row>
    <row r="700">
      <c r="D700" s="58"/>
    </row>
    <row r="701">
      <c r="D701" s="58"/>
    </row>
    <row r="702">
      <c r="D702" s="58"/>
    </row>
    <row r="703">
      <c r="D703" s="58"/>
    </row>
    <row r="704">
      <c r="D704" s="58"/>
    </row>
    <row r="705">
      <c r="D705" s="58"/>
    </row>
    <row r="706">
      <c r="D706" s="58"/>
    </row>
    <row r="707">
      <c r="D707" s="58"/>
    </row>
    <row r="708">
      <c r="D708" s="58"/>
    </row>
    <row r="709">
      <c r="D709" s="58"/>
    </row>
    <row r="710">
      <c r="D710" s="58"/>
    </row>
    <row r="711">
      <c r="D711" s="58"/>
    </row>
    <row r="712">
      <c r="D712" s="58"/>
    </row>
    <row r="713">
      <c r="D713" s="58"/>
    </row>
    <row r="714">
      <c r="D714" s="58"/>
    </row>
    <row r="715">
      <c r="D715" s="58"/>
    </row>
    <row r="716">
      <c r="D716" s="58"/>
    </row>
    <row r="717">
      <c r="D717" s="58"/>
    </row>
    <row r="718">
      <c r="D718" s="58"/>
    </row>
    <row r="719">
      <c r="D719" s="58"/>
    </row>
    <row r="720">
      <c r="D720" s="58"/>
    </row>
    <row r="721">
      <c r="D721" s="58"/>
    </row>
    <row r="722">
      <c r="D722" s="58"/>
    </row>
    <row r="723">
      <c r="D723" s="58"/>
    </row>
    <row r="724">
      <c r="D724" s="58"/>
    </row>
    <row r="725">
      <c r="D725" s="58"/>
    </row>
    <row r="726">
      <c r="D726" s="58"/>
    </row>
    <row r="727">
      <c r="D727" s="58"/>
    </row>
    <row r="728">
      <c r="D728" s="58"/>
    </row>
    <row r="729">
      <c r="D729" s="58"/>
    </row>
    <row r="730">
      <c r="D730" s="58"/>
    </row>
    <row r="731">
      <c r="D731" s="58"/>
    </row>
    <row r="732">
      <c r="D732" s="58"/>
    </row>
    <row r="733">
      <c r="D733" s="58"/>
    </row>
    <row r="734">
      <c r="D734" s="58"/>
    </row>
    <row r="735">
      <c r="D735" s="58"/>
    </row>
    <row r="736">
      <c r="D736" s="58"/>
    </row>
    <row r="737">
      <c r="D737" s="58"/>
    </row>
    <row r="738">
      <c r="D738" s="58"/>
    </row>
    <row r="739">
      <c r="D739" s="58"/>
    </row>
    <row r="740">
      <c r="D740" s="58"/>
    </row>
    <row r="741">
      <c r="D741" s="58"/>
    </row>
    <row r="742">
      <c r="D742" s="58"/>
    </row>
    <row r="743">
      <c r="D743" s="58"/>
    </row>
    <row r="744">
      <c r="D744" s="58"/>
    </row>
    <row r="745">
      <c r="D745" s="58"/>
    </row>
    <row r="746">
      <c r="D746" s="58"/>
    </row>
    <row r="747">
      <c r="D747" s="58"/>
    </row>
    <row r="748">
      <c r="D748" s="58"/>
    </row>
    <row r="749">
      <c r="D749" s="58"/>
    </row>
    <row r="750">
      <c r="D750" s="58"/>
    </row>
    <row r="751">
      <c r="D751" s="58"/>
    </row>
    <row r="752">
      <c r="D752" s="58"/>
    </row>
    <row r="753">
      <c r="D753" s="58"/>
    </row>
    <row r="754">
      <c r="D754" s="58"/>
    </row>
    <row r="755">
      <c r="D755" s="58"/>
    </row>
    <row r="756">
      <c r="D756" s="58"/>
    </row>
    <row r="757">
      <c r="D757" s="58"/>
    </row>
    <row r="758">
      <c r="D758" s="58"/>
    </row>
    <row r="759">
      <c r="D759" s="58"/>
    </row>
    <row r="760">
      <c r="D760" s="58"/>
    </row>
    <row r="761">
      <c r="D761" s="58"/>
    </row>
    <row r="762">
      <c r="D762" s="58"/>
    </row>
    <row r="763">
      <c r="D763" s="58"/>
    </row>
    <row r="764">
      <c r="D764" s="58"/>
    </row>
    <row r="765">
      <c r="D765" s="58"/>
    </row>
    <row r="766">
      <c r="D766" s="58"/>
    </row>
    <row r="767">
      <c r="D767" s="58"/>
    </row>
    <row r="768">
      <c r="D768" s="58"/>
    </row>
    <row r="769">
      <c r="D769" s="58"/>
    </row>
    <row r="770">
      <c r="D770" s="58"/>
    </row>
    <row r="771">
      <c r="D771" s="58"/>
    </row>
    <row r="772">
      <c r="D772" s="58"/>
    </row>
    <row r="773">
      <c r="D773" s="58"/>
    </row>
    <row r="774">
      <c r="D774" s="58"/>
    </row>
    <row r="775">
      <c r="D775" s="58"/>
    </row>
    <row r="776">
      <c r="D776" s="58"/>
    </row>
    <row r="777">
      <c r="D777" s="58"/>
    </row>
    <row r="778">
      <c r="D778" s="58"/>
    </row>
    <row r="779">
      <c r="D779" s="58"/>
    </row>
    <row r="780">
      <c r="D780" s="58"/>
    </row>
    <row r="781">
      <c r="D781" s="58"/>
    </row>
    <row r="782">
      <c r="D782" s="58"/>
    </row>
    <row r="783">
      <c r="D783" s="58"/>
    </row>
    <row r="784">
      <c r="D784" s="58"/>
    </row>
    <row r="785">
      <c r="D785" s="58"/>
    </row>
    <row r="786">
      <c r="D786" s="58"/>
    </row>
    <row r="787">
      <c r="D787" s="58"/>
    </row>
    <row r="788">
      <c r="D788" s="58"/>
    </row>
    <row r="789">
      <c r="D789" s="58"/>
    </row>
    <row r="790">
      <c r="D790" s="58"/>
    </row>
    <row r="791">
      <c r="D791" s="58"/>
    </row>
    <row r="792">
      <c r="D792" s="58"/>
    </row>
    <row r="793">
      <c r="D793" s="58"/>
    </row>
    <row r="794">
      <c r="D794" s="58"/>
    </row>
    <row r="795">
      <c r="D795" s="58"/>
    </row>
    <row r="796">
      <c r="D796" s="58"/>
    </row>
    <row r="797">
      <c r="D797" s="58"/>
    </row>
    <row r="798">
      <c r="D798" s="58"/>
    </row>
    <row r="799">
      <c r="D799" s="58"/>
    </row>
    <row r="800">
      <c r="D800" s="58"/>
    </row>
    <row r="801">
      <c r="D801" s="58"/>
    </row>
    <row r="802">
      <c r="D802" s="58"/>
    </row>
    <row r="803">
      <c r="D803" s="58"/>
    </row>
    <row r="804">
      <c r="D804" s="58"/>
    </row>
    <row r="805">
      <c r="D805" s="58"/>
    </row>
    <row r="806">
      <c r="D806" s="58"/>
    </row>
    <row r="807">
      <c r="D807" s="58"/>
    </row>
    <row r="808">
      <c r="D808" s="58"/>
    </row>
    <row r="809">
      <c r="D809" s="58"/>
    </row>
    <row r="810">
      <c r="D810" s="58"/>
    </row>
    <row r="811">
      <c r="D811" s="58"/>
    </row>
    <row r="812">
      <c r="D812" s="58"/>
    </row>
    <row r="813">
      <c r="D813" s="58"/>
    </row>
    <row r="814">
      <c r="D814" s="58"/>
    </row>
    <row r="815">
      <c r="D815" s="58"/>
    </row>
    <row r="816">
      <c r="D816" s="58"/>
    </row>
    <row r="817">
      <c r="D817" s="58"/>
    </row>
    <row r="818">
      <c r="D818" s="58"/>
    </row>
    <row r="819">
      <c r="D819" s="58"/>
    </row>
    <row r="820">
      <c r="D820" s="58"/>
    </row>
    <row r="821">
      <c r="D821" s="58"/>
    </row>
    <row r="822">
      <c r="D822" s="58"/>
    </row>
    <row r="823">
      <c r="D823" s="58"/>
    </row>
    <row r="824">
      <c r="D824" s="58"/>
    </row>
    <row r="825">
      <c r="D825" s="58"/>
    </row>
    <row r="826">
      <c r="D826" s="58"/>
    </row>
    <row r="827">
      <c r="D827" s="58"/>
    </row>
    <row r="828">
      <c r="D828" s="58"/>
    </row>
    <row r="829">
      <c r="D829" s="58"/>
    </row>
    <row r="830">
      <c r="D830" s="58"/>
    </row>
    <row r="831">
      <c r="D831" s="58"/>
    </row>
    <row r="832">
      <c r="D832" s="58"/>
    </row>
    <row r="833">
      <c r="D833" s="58"/>
    </row>
    <row r="834">
      <c r="D834" s="58"/>
    </row>
    <row r="835">
      <c r="D835" s="58"/>
    </row>
    <row r="836">
      <c r="D836" s="58"/>
    </row>
    <row r="837">
      <c r="D837" s="58"/>
    </row>
    <row r="838">
      <c r="D838" s="58"/>
    </row>
    <row r="839">
      <c r="D839" s="58"/>
    </row>
    <row r="840">
      <c r="D840" s="58"/>
    </row>
    <row r="841">
      <c r="D841" s="58"/>
    </row>
    <row r="842">
      <c r="D842" s="58"/>
    </row>
    <row r="843">
      <c r="D843" s="58"/>
    </row>
    <row r="844">
      <c r="D844" s="58"/>
    </row>
    <row r="845">
      <c r="D845" s="58"/>
    </row>
    <row r="846">
      <c r="D846" s="58"/>
    </row>
    <row r="847">
      <c r="D847" s="58"/>
    </row>
    <row r="848">
      <c r="D848" s="58"/>
    </row>
    <row r="849">
      <c r="D849" s="58"/>
    </row>
    <row r="850">
      <c r="D850" s="58"/>
    </row>
    <row r="851">
      <c r="D851" s="58"/>
    </row>
    <row r="852">
      <c r="D852" s="58"/>
    </row>
    <row r="853">
      <c r="D853" s="58"/>
    </row>
    <row r="854">
      <c r="D854" s="58"/>
    </row>
    <row r="855">
      <c r="D855" s="58"/>
    </row>
    <row r="856">
      <c r="D856" s="58"/>
    </row>
    <row r="857">
      <c r="D857" s="58"/>
    </row>
    <row r="858">
      <c r="D858" s="58"/>
    </row>
    <row r="859">
      <c r="D859" s="58"/>
    </row>
    <row r="860">
      <c r="D860" s="58"/>
    </row>
    <row r="861">
      <c r="D861" s="58"/>
    </row>
    <row r="862">
      <c r="D862" s="58"/>
    </row>
    <row r="863">
      <c r="D863" s="58"/>
    </row>
    <row r="864">
      <c r="D864" s="58"/>
    </row>
    <row r="865">
      <c r="D865" s="58"/>
    </row>
    <row r="866">
      <c r="D866" s="58"/>
    </row>
    <row r="867">
      <c r="D867" s="58"/>
    </row>
    <row r="868">
      <c r="D868" s="58"/>
    </row>
    <row r="869">
      <c r="D869" s="58"/>
    </row>
    <row r="870">
      <c r="D870" s="58"/>
    </row>
    <row r="871">
      <c r="D871" s="58"/>
    </row>
    <row r="872">
      <c r="D872" s="58"/>
    </row>
    <row r="873">
      <c r="D873" s="58"/>
    </row>
    <row r="874">
      <c r="D874" s="58"/>
    </row>
    <row r="875">
      <c r="D875" s="58"/>
    </row>
    <row r="876">
      <c r="D876" s="58"/>
    </row>
    <row r="877">
      <c r="D877" s="58"/>
    </row>
    <row r="878">
      <c r="D878" s="58"/>
    </row>
    <row r="879">
      <c r="D879" s="58"/>
    </row>
    <row r="880">
      <c r="D880" s="58"/>
    </row>
    <row r="881">
      <c r="D881" s="58"/>
    </row>
    <row r="882">
      <c r="D882" s="58"/>
    </row>
    <row r="883">
      <c r="D883" s="58"/>
    </row>
    <row r="884">
      <c r="D884" s="58"/>
    </row>
    <row r="885">
      <c r="D885" s="58"/>
    </row>
    <row r="886">
      <c r="D886" s="58"/>
    </row>
    <row r="887">
      <c r="D887" s="58"/>
    </row>
    <row r="888">
      <c r="D888" s="58"/>
    </row>
    <row r="889">
      <c r="D889" s="58"/>
    </row>
    <row r="890">
      <c r="D890" s="58"/>
    </row>
    <row r="891">
      <c r="D891" s="58"/>
    </row>
    <row r="892">
      <c r="D892" s="58"/>
    </row>
    <row r="893">
      <c r="D893" s="58"/>
    </row>
    <row r="894">
      <c r="D894" s="58"/>
    </row>
    <row r="895">
      <c r="D895" s="58"/>
    </row>
    <row r="896">
      <c r="D896" s="58"/>
    </row>
    <row r="897">
      <c r="D897" s="58"/>
    </row>
    <row r="898">
      <c r="D898" s="58"/>
    </row>
    <row r="899">
      <c r="D899" s="58"/>
    </row>
    <row r="900">
      <c r="D900" s="58"/>
    </row>
    <row r="901">
      <c r="D901" s="58"/>
    </row>
    <row r="902">
      <c r="D902" s="58"/>
    </row>
    <row r="903">
      <c r="D903" s="58"/>
    </row>
    <row r="904">
      <c r="D904" s="58"/>
    </row>
    <row r="905">
      <c r="D905" s="58"/>
    </row>
    <row r="906">
      <c r="D906" s="58"/>
    </row>
    <row r="907">
      <c r="D907" s="58"/>
    </row>
    <row r="908">
      <c r="D908" s="58"/>
    </row>
    <row r="909">
      <c r="D909" s="58"/>
    </row>
    <row r="910">
      <c r="D910" s="58"/>
    </row>
    <row r="911">
      <c r="D911" s="58"/>
    </row>
    <row r="912">
      <c r="D912" s="58"/>
    </row>
    <row r="913">
      <c r="D913" s="58"/>
    </row>
    <row r="914">
      <c r="D914" s="58"/>
    </row>
    <row r="915">
      <c r="D915" s="58"/>
    </row>
    <row r="916">
      <c r="D916" s="58"/>
    </row>
    <row r="917">
      <c r="D917" s="58"/>
    </row>
    <row r="918">
      <c r="D918" s="58"/>
    </row>
    <row r="919">
      <c r="D919" s="58"/>
    </row>
    <row r="920">
      <c r="D920" s="58"/>
    </row>
    <row r="921">
      <c r="D921" s="58"/>
    </row>
    <row r="922">
      <c r="D922" s="58"/>
    </row>
    <row r="923">
      <c r="D923" s="58"/>
    </row>
    <row r="924">
      <c r="D924" s="58"/>
    </row>
    <row r="925">
      <c r="D925" s="58"/>
    </row>
    <row r="926">
      <c r="D926" s="58"/>
    </row>
    <row r="927">
      <c r="D927" s="58"/>
    </row>
    <row r="928">
      <c r="D928" s="58"/>
    </row>
    <row r="929">
      <c r="D929" s="58"/>
    </row>
    <row r="930">
      <c r="D930" s="58"/>
    </row>
    <row r="931">
      <c r="D931" s="58"/>
    </row>
    <row r="932">
      <c r="D932" s="58"/>
    </row>
    <row r="933">
      <c r="D933" s="58"/>
    </row>
    <row r="934">
      <c r="D934" s="58"/>
    </row>
    <row r="935">
      <c r="D935" s="58"/>
    </row>
    <row r="936">
      <c r="D936" s="58"/>
    </row>
    <row r="937">
      <c r="D937" s="58"/>
    </row>
    <row r="938">
      <c r="D938" s="58"/>
    </row>
    <row r="939">
      <c r="D939" s="58"/>
    </row>
    <row r="940">
      <c r="D940" s="58"/>
    </row>
    <row r="941">
      <c r="D941" s="58"/>
    </row>
    <row r="942">
      <c r="D942" s="58"/>
    </row>
    <row r="943">
      <c r="D943" s="58"/>
    </row>
    <row r="944">
      <c r="D944" s="58"/>
    </row>
    <row r="945">
      <c r="D945" s="58"/>
    </row>
    <row r="946">
      <c r="D946" s="58"/>
    </row>
    <row r="947">
      <c r="D947" s="58"/>
    </row>
    <row r="948">
      <c r="D948" s="58"/>
    </row>
    <row r="949">
      <c r="D949" s="58"/>
    </row>
    <row r="950">
      <c r="D950" s="58"/>
    </row>
    <row r="951">
      <c r="D951" s="58"/>
    </row>
    <row r="952">
      <c r="D952" s="58"/>
    </row>
    <row r="953">
      <c r="D953" s="58"/>
    </row>
    <row r="954">
      <c r="D954" s="58"/>
    </row>
    <row r="955">
      <c r="D955" s="58"/>
    </row>
    <row r="956">
      <c r="D956" s="58"/>
    </row>
    <row r="957">
      <c r="D957" s="58"/>
    </row>
    <row r="958">
      <c r="D958" s="58"/>
    </row>
    <row r="959">
      <c r="D959" s="58"/>
    </row>
    <row r="960">
      <c r="D960" s="58"/>
    </row>
    <row r="961">
      <c r="D961" s="58"/>
    </row>
    <row r="962">
      <c r="D962" s="58"/>
    </row>
    <row r="963">
      <c r="D963" s="58"/>
    </row>
    <row r="964">
      <c r="D964" s="58"/>
    </row>
    <row r="965">
      <c r="D965" s="58"/>
    </row>
    <row r="966">
      <c r="D966" s="58"/>
    </row>
    <row r="967">
      <c r="D967" s="58"/>
    </row>
    <row r="968">
      <c r="D968" s="58"/>
    </row>
    <row r="969">
      <c r="D969" s="58"/>
    </row>
    <row r="970">
      <c r="D970" s="58"/>
    </row>
    <row r="971">
      <c r="D971" s="58"/>
    </row>
    <row r="972">
      <c r="D972" s="58"/>
    </row>
    <row r="973">
      <c r="D973" s="58"/>
    </row>
    <row r="974">
      <c r="D974" s="58"/>
    </row>
    <row r="975">
      <c r="D975" s="58"/>
    </row>
    <row r="976">
      <c r="D976" s="58"/>
    </row>
    <row r="977">
      <c r="D977" s="58"/>
    </row>
    <row r="978">
      <c r="D978" s="58"/>
    </row>
    <row r="979">
      <c r="D979" s="58"/>
    </row>
    <row r="980">
      <c r="D980" s="58"/>
    </row>
    <row r="981">
      <c r="D981" s="58"/>
    </row>
    <row r="982">
      <c r="D982" s="58"/>
    </row>
    <row r="983">
      <c r="D983" s="58"/>
    </row>
    <row r="984">
      <c r="D984" s="58"/>
    </row>
    <row r="985">
      <c r="D985" s="58"/>
    </row>
    <row r="986">
      <c r="D986" s="58"/>
    </row>
    <row r="987">
      <c r="D987" s="58"/>
    </row>
    <row r="988">
      <c r="D988" s="58"/>
    </row>
    <row r="989">
      <c r="D989" s="58"/>
    </row>
    <row r="990">
      <c r="D990" s="58"/>
    </row>
    <row r="991">
      <c r="D991" s="58"/>
    </row>
    <row r="992">
      <c r="D992" s="58"/>
    </row>
    <row r="993">
      <c r="D993" s="58"/>
    </row>
    <row r="994">
      <c r="D994" s="58"/>
    </row>
    <row r="995">
      <c r="D995" s="58"/>
    </row>
    <row r="996">
      <c r="D996" s="58"/>
    </row>
    <row r="997">
      <c r="D997" s="58"/>
    </row>
    <row r="998">
      <c r="D998" s="58"/>
    </row>
    <row r="999">
      <c r="D999" s="58"/>
    </row>
    <row r="1000">
      <c r="D1000" s="58"/>
    </row>
    <row r="1001">
      <c r="D1001" s="58"/>
    </row>
    <row r="1002">
      <c r="D1002" s="58"/>
    </row>
    <row r="1003">
      <c r="D1003" s="58"/>
    </row>
    <row r="1004">
      <c r="D1004" s="58"/>
    </row>
    <row r="1005">
      <c r="D1005" s="58"/>
    </row>
    <row r="1006">
      <c r="D1006" s="58"/>
    </row>
    <row r="1007">
      <c r="D1007" s="58"/>
    </row>
    <row r="1008">
      <c r="D1008" s="58"/>
    </row>
    <row r="1009">
      <c r="D1009" s="58"/>
    </row>
    <row r="1010">
      <c r="D1010" s="58"/>
    </row>
    <row r="1011">
      <c r="D1011" s="58"/>
    </row>
    <row r="1012">
      <c r="D1012" s="58"/>
    </row>
    <row r="1013">
      <c r="D1013" s="58"/>
    </row>
  </sheetData>
  <dataValidations>
    <dataValidation type="list" allowBlank="1" sqref="C3:C141">
      <formula1>"LT,MT,HT"</formula1>
    </dataValidation>
    <dataValidation type="custom" allowBlank="1" showDropDown="1" sqref="G3:L141 P3:P141">
      <formula1>AND(ISNUMBER(G3),(NOT(OR(NOT(ISERROR(DATEVALUE(G3))), AND(ISNUMBER(G3), LEFT(CELL("format", G3))="D")))))</formula1>
    </dataValidation>
    <dataValidation allowBlank="1" showDropDown="1" sqref="B3:B141 D3:D141 N3:N141"/>
    <dataValidation type="list" allowBlank="1" sqref="E3:F141">
      <formula1>"N,Y"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2.25"/>
    <col customWidth="1" min="4" max="5" width="8.0"/>
    <col customWidth="1" min="6" max="6" width="13.13"/>
    <col customWidth="1" min="13" max="14" width="13.0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14</v>
      </c>
    </row>
    <row r="2">
      <c r="B2" s="1" t="s">
        <v>16</v>
      </c>
      <c r="C2" s="1" t="s">
        <v>17</v>
      </c>
      <c r="D2" s="1" t="s">
        <v>18</v>
      </c>
      <c r="E2" s="1" t="s">
        <v>19</v>
      </c>
      <c r="F2" s="3" t="s">
        <v>20</v>
      </c>
      <c r="G2" s="3" t="s">
        <v>20</v>
      </c>
      <c r="H2" s="3" t="s">
        <v>22</v>
      </c>
      <c r="I2" s="3">
        <v>4.0</v>
      </c>
      <c r="J2" s="3">
        <v>4.0</v>
      </c>
      <c r="K2" s="3">
        <v>4.0</v>
      </c>
      <c r="L2" s="3">
        <v>4.0</v>
      </c>
    </row>
    <row r="3">
      <c r="B3" s="6" t="s">
        <v>24</v>
      </c>
      <c r="C3" s="6" t="s">
        <v>26</v>
      </c>
      <c r="D3" s="6" t="s">
        <v>18</v>
      </c>
      <c r="E3" s="6" t="s">
        <v>18</v>
      </c>
      <c r="F3" s="7" t="s">
        <v>20</v>
      </c>
      <c r="G3" s="7" t="s">
        <v>20</v>
      </c>
      <c r="H3" s="7" t="s">
        <v>22</v>
      </c>
      <c r="I3" s="7" t="s">
        <v>20</v>
      </c>
      <c r="J3" s="7" t="s">
        <v>22</v>
      </c>
      <c r="K3" s="7" t="s">
        <v>20</v>
      </c>
      <c r="L3" s="7" t="s">
        <v>20</v>
      </c>
    </row>
    <row r="4">
      <c r="B4" s="1" t="s">
        <v>29</v>
      </c>
      <c r="C4" s="1" t="s">
        <v>26</v>
      </c>
      <c r="D4" s="1" t="s">
        <v>18</v>
      </c>
      <c r="E4" s="1" t="s">
        <v>18</v>
      </c>
      <c r="F4" s="3">
        <v>4.0</v>
      </c>
      <c r="G4" s="3">
        <v>4.0</v>
      </c>
      <c r="H4" s="3" t="s">
        <v>22</v>
      </c>
      <c r="I4" s="3">
        <v>4.0</v>
      </c>
      <c r="J4" s="3" t="s">
        <v>22</v>
      </c>
      <c r="K4" s="3">
        <v>4.0</v>
      </c>
      <c r="L4" s="3">
        <v>4.0</v>
      </c>
      <c r="M4" s="1"/>
      <c r="N4" s="1"/>
      <c r="O4" s="1"/>
      <c r="P4" s="1"/>
      <c r="Q4" s="1" t="s">
        <v>37</v>
      </c>
    </row>
    <row r="5">
      <c r="B5" s="1" t="s">
        <v>38</v>
      </c>
      <c r="C5" s="1" t="s">
        <v>39</v>
      </c>
      <c r="D5" s="1" t="s">
        <v>18</v>
      </c>
      <c r="E5" s="1" t="s">
        <v>18</v>
      </c>
      <c r="F5" s="3">
        <v>5.0</v>
      </c>
      <c r="G5" s="3">
        <v>5.0</v>
      </c>
      <c r="H5" s="3" t="s">
        <v>22</v>
      </c>
      <c r="I5" s="3">
        <v>5.0</v>
      </c>
      <c r="J5" s="3" t="s">
        <v>22</v>
      </c>
      <c r="K5" s="3">
        <v>5.0</v>
      </c>
      <c r="L5" s="3" t="s">
        <v>22</v>
      </c>
    </row>
    <row r="6">
      <c r="B6" s="6" t="s">
        <v>45</v>
      </c>
      <c r="C6" s="6" t="s">
        <v>39</v>
      </c>
      <c r="D6" s="6" t="s">
        <v>18</v>
      </c>
      <c r="E6" s="6" t="s">
        <v>19</v>
      </c>
      <c r="F6" s="7" t="s">
        <v>20</v>
      </c>
      <c r="G6" s="7" t="s">
        <v>49</v>
      </c>
      <c r="H6" s="7" t="s">
        <v>22</v>
      </c>
      <c r="I6" s="7" t="s">
        <v>49</v>
      </c>
      <c r="J6" s="7" t="s">
        <v>22</v>
      </c>
      <c r="K6" s="7" t="s">
        <v>49</v>
      </c>
      <c r="L6" s="7" t="s">
        <v>22</v>
      </c>
    </row>
    <row r="7">
      <c r="B7" s="6" t="s">
        <v>53</v>
      </c>
      <c r="C7" s="6" t="s">
        <v>39</v>
      </c>
      <c r="D7" s="6" t="s">
        <v>18</v>
      </c>
      <c r="E7" s="6" t="s">
        <v>18</v>
      </c>
      <c r="F7" s="7" t="s">
        <v>20</v>
      </c>
      <c r="G7" s="7" t="s">
        <v>20</v>
      </c>
      <c r="H7" s="7" t="s">
        <v>22</v>
      </c>
      <c r="I7" s="7" t="s">
        <v>20</v>
      </c>
      <c r="J7" s="7" t="s">
        <v>22</v>
      </c>
      <c r="K7" s="7" t="s">
        <v>20</v>
      </c>
      <c r="L7" s="7" t="s">
        <v>22</v>
      </c>
    </row>
    <row r="8">
      <c r="B8" s="6" t="s">
        <v>59</v>
      </c>
      <c r="C8" s="6" t="s">
        <v>39</v>
      </c>
      <c r="D8" s="6" t="s">
        <v>18</v>
      </c>
      <c r="E8" s="6" t="s">
        <v>18</v>
      </c>
      <c r="F8" s="7" t="s">
        <v>61</v>
      </c>
      <c r="G8" s="7" t="s">
        <v>61</v>
      </c>
      <c r="H8" s="7" t="s">
        <v>22</v>
      </c>
      <c r="I8" s="7" t="s">
        <v>61</v>
      </c>
      <c r="J8" s="7" t="s">
        <v>22</v>
      </c>
      <c r="K8" s="7" t="s">
        <v>61</v>
      </c>
      <c r="L8" s="7" t="s">
        <v>22</v>
      </c>
      <c r="M8" s="1">
        <v>578220.0</v>
      </c>
      <c r="N8" s="10">
        <f>M8+$J$105</f>
        <v>3829120</v>
      </c>
      <c r="O8" s="10">
        <f>$J$106-N8</f>
        <v>2782740</v>
      </c>
      <c r="P8" s="10">
        <f>$J$106-N8</f>
        <v>2782740</v>
      </c>
    </row>
    <row r="9">
      <c r="B9" s="1" t="s">
        <v>81</v>
      </c>
      <c r="C9" s="1" t="s">
        <v>82</v>
      </c>
      <c r="D9" s="1" t="s">
        <v>18</v>
      </c>
      <c r="E9" s="1" t="s">
        <v>18</v>
      </c>
      <c r="F9" s="3" t="s">
        <v>20</v>
      </c>
      <c r="G9" s="3">
        <v>4.0</v>
      </c>
      <c r="H9" s="3" t="s">
        <v>22</v>
      </c>
      <c r="I9" s="3">
        <v>4.0</v>
      </c>
      <c r="J9" s="3" t="s">
        <v>22</v>
      </c>
      <c r="K9" s="3" t="s">
        <v>22</v>
      </c>
      <c r="L9" s="3" t="s">
        <v>22</v>
      </c>
    </row>
    <row r="10">
      <c r="B10" s="6" t="s">
        <v>88</v>
      </c>
      <c r="C10" s="6" t="s">
        <v>39</v>
      </c>
      <c r="D10" s="6" t="s">
        <v>18</v>
      </c>
      <c r="E10" s="6" t="s">
        <v>18</v>
      </c>
      <c r="F10" s="7" t="s">
        <v>49</v>
      </c>
      <c r="G10" s="7" t="s">
        <v>49</v>
      </c>
      <c r="H10" s="7" t="s">
        <v>22</v>
      </c>
      <c r="I10" s="7" t="s">
        <v>49</v>
      </c>
      <c r="J10" s="7" t="s">
        <v>22</v>
      </c>
      <c r="K10" s="7" t="s">
        <v>49</v>
      </c>
      <c r="L10" s="7" t="s">
        <v>22</v>
      </c>
      <c r="M10" s="1"/>
      <c r="N10" s="1"/>
      <c r="O10" s="1"/>
      <c r="P10" s="1"/>
      <c r="Q10" s="1" t="s">
        <v>96</v>
      </c>
    </row>
    <row r="11">
      <c r="F11" s="14"/>
      <c r="G11" s="14"/>
      <c r="H11" s="14"/>
      <c r="I11" s="14"/>
      <c r="J11" s="14"/>
      <c r="K11" s="14"/>
      <c r="L11" s="14"/>
    </row>
    <row r="12">
      <c r="B12" s="1" t="s">
        <v>98</v>
      </c>
      <c r="C12" s="1" t="s">
        <v>17</v>
      </c>
      <c r="D12" s="1" t="s">
        <v>18</v>
      </c>
      <c r="E12" s="1" t="s">
        <v>18</v>
      </c>
      <c r="F12" s="3">
        <v>3.0</v>
      </c>
      <c r="G12" s="3">
        <v>3.0</v>
      </c>
      <c r="H12" s="3" t="s">
        <v>22</v>
      </c>
      <c r="I12" s="3">
        <v>3.0</v>
      </c>
      <c r="J12" s="3">
        <v>3.0</v>
      </c>
      <c r="K12" s="3">
        <v>3.0</v>
      </c>
      <c r="L12" s="3">
        <v>3.0</v>
      </c>
    </row>
    <row r="13">
      <c r="B13" s="1" t="s">
        <v>102</v>
      </c>
      <c r="C13" s="1" t="s">
        <v>17</v>
      </c>
      <c r="D13" s="1" t="s">
        <v>18</v>
      </c>
      <c r="E13" s="1" t="s">
        <v>19</v>
      </c>
      <c r="F13" s="3">
        <v>3.0</v>
      </c>
      <c r="G13" s="3">
        <v>3.0</v>
      </c>
      <c r="H13" s="3"/>
      <c r="I13" s="3">
        <v>3.0</v>
      </c>
      <c r="J13" s="3">
        <v>2.0</v>
      </c>
      <c r="K13" s="3">
        <v>2.0</v>
      </c>
      <c r="L13" s="3">
        <v>2.0</v>
      </c>
    </row>
    <row r="14">
      <c r="B14" s="1" t="s">
        <v>106</v>
      </c>
      <c r="C14" s="1" t="s">
        <v>17</v>
      </c>
      <c r="D14" s="1" t="s">
        <v>18</v>
      </c>
      <c r="E14" s="1" t="s">
        <v>19</v>
      </c>
      <c r="F14" s="3">
        <v>3.0</v>
      </c>
      <c r="G14" s="3">
        <v>3.0</v>
      </c>
      <c r="H14" s="3" t="s">
        <v>22</v>
      </c>
      <c r="I14" s="3">
        <v>3.0</v>
      </c>
      <c r="J14" s="3">
        <v>3.0</v>
      </c>
      <c r="K14" s="3">
        <v>3.0</v>
      </c>
      <c r="L14" s="3">
        <v>2.0</v>
      </c>
    </row>
    <row r="15">
      <c r="B15" s="1" t="s">
        <v>109</v>
      </c>
      <c r="C15" s="1" t="s">
        <v>111</v>
      </c>
      <c r="D15" s="1" t="s">
        <v>18</v>
      </c>
      <c r="E15" s="1" t="s">
        <v>18</v>
      </c>
      <c r="F15" s="3">
        <v>3.0</v>
      </c>
      <c r="G15" s="3">
        <v>3.0</v>
      </c>
      <c r="H15" s="3" t="s">
        <v>22</v>
      </c>
      <c r="I15" s="3">
        <v>3.0</v>
      </c>
      <c r="J15" s="3">
        <v>3.0</v>
      </c>
      <c r="K15" s="3">
        <v>3.0</v>
      </c>
      <c r="L15" s="3" t="s">
        <v>22</v>
      </c>
    </row>
    <row r="16">
      <c r="B16" s="1" t="s">
        <v>116</v>
      </c>
      <c r="C16" s="1" t="s">
        <v>17</v>
      </c>
      <c r="D16" s="1" t="s">
        <v>18</v>
      </c>
      <c r="E16" s="1" t="s">
        <v>18</v>
      </c>
      <c r="F16" s="3">
        <v>3.0</v>
      </c>
      <c r="G16" s="3">
        <v>3.0</v>
      </c>
      <c r="H16" s="3" t="s">
        <v>22</v>
      </c>
      <c r="I16" s="3">
        <v>3.0</v>
      </c>
      <c r="J16" s="3">
        <v>3.0</v>
      </c>
      <c r="K16" s="3">
        <v>3.0</v>
      </c>
      <c r="L16" s="3">
        <v>3.0</v>
      </c>
    </row>
    <row r="17">
      <c r="B17" s="1" t="s">
        <v>118</v>
      </c>
      <c r="C17" s="1" t="s">
        <v>17</v>
      </c>
      <c r="D17" s="1" t="s">
        <v>18</v>
      </c>
      <c r="E17" s="1" t="s">
        <v>18</v>
      </c>
      <c r="F17" s="3">
        <v>3.0</v>
      </c>
      <c r="G17" s="3">
        <v>3.0</v>
      </c>
      <c r="H17" s="3" t="s">
        <v>22</v>
      </c>
      <c r="I17" s="3">
        <v>3.0</v>
      </c>
      <c r="J17" s="3">
        <v>3.0</v>
      </c>
      <c r="K17" s="3">
        <v>3.0</v>
      </c>
      <c r="L17" s="18">
        <v>0.0</v>
      </c>
      <c r="M17" s="1"/>
      <c r="N17" s="1"/>
      <c r="O17" s="1"/>
      <c r="P17" s="1"/>
      <c r="Q17" s="1" t="s">
        <v>125</v>
      </c>
      <c r="R17" s="1" t="s">
        <v>126</v>
      </c>
    </row>
    <row r="18">
      <c r="B18" s="1" t="s">
        <v>127</v>
      </c>
      <c r="C18" s="1" t="s">
        <v>111</v>
      </c>
      <c r="D18" s="1" t="s">
        <v>18</v>
      </c>
      <c r="E18" s="1" t="s">
        <v>18</v>
      </c>
      <c r="F18" s="3">
        <v>3.0</v>
      </c>
      <c r="G18" s="3">
        <v>3.0</v>
      </c>
      <c r="H18" s="3" t="s">
        <v>22</v>
      </c>
      <c r="I18" s="3">
        <v>3.0</v>
      </c>
      <c r="J18" s="3">
        <v>3.0</v>
      </c>
      <c r="K18" s="3">
        <v>3.0</v>
      </c>
      <c r="L18" s="3" t="s">
        <v>22</v>
      </c>
    </row>
    <row r="19">
      <c r="B19" s="6" t="s">
        <v>129</v>
      </c>
      <c r="C19" s="6" t="s">
        <v>39</v>
      </c>
      <c r="D19" s="6" t="s">
        <v>18</v>
      </c>
      <c r="E19" s="6" t="s">
        <v>18</v>
      </c>
      <c r="F19" s="7" t="s">
        <v>130</v>
      </c>
      <c r="G19" s="7" t="s">
        <v>130</v>
      </c>
      <c r="H19" s="7" t="s">
        <v>22</v>
      </c>
      <c r="I19" s="7" t="s">
        <v>130</v>
      </c>
      <c r="J19" s="7" t="s">
        <v>22</v>
      </c>
      <c r="K19" s="7" t="s">
        <v>130</v>
      </c>
      <c r="L19" s="7" t="s">
        <v>22</v>
      </c>
    </row>
    <row r="20">
      <c r="B20" s="1" t="s">
        <v>131</v>
      </c>
      <c r="C20" s="1" t="s">
        <v>82</v>
      </c>
      <c r="F20" s="3">
        <v>3.0</v>
      </c>
      <c r="G20" s="3">
        <v>3.0</v>
      </c>
      <c r="H20" s="3" t="s">
        <v>22</v>
      </c>
      <c r="I20" s="3">
        <v>3.0</v>
      </c>
      <c r="J20" s="3" t="s">
        <v>22</v>
      </c>
      <c r="K20" s="3" t="s">
        <v>22</v>
      </c>
      <c r="L20" s="3" t="s">
        <v>22</v>
      </c>
    </row>
    <row r="21">
      <c r="F21" s="14"/>
      <c r="G21" s="14"/>
      <c r="H21" s="14"/>
      <c r="I21" s="14"/>
      <c r="J21" s="14"/>
      <c r="K21" s="14"/>
      <c r="L21" s="14"/>
    </row>
    <row r="22">
      <c r="B22" s="1" t="s">
        <v>132</v>
      </c>
      <c r="C22" s="1" t="s">
        <v>26</v>
      </c>
      <c r="D22" s="1" t="s">
        <v>18</v>
      </c>
      <c r="E22" s="1" t="s">
        <v>18</v>
      </c>
      <c r="F22" s="3">
        <v>3.0</v>
      </c>
      <c r="G22" s="3">
        <v>3.0</v>
      </c>
      <c r="H22" s="3" t="s">
        <v>22</v>
      </c>
      <c r="I22" s="3">
        <v>3.0</v>
      </c>
      <c r="J22" s="3" t="s">
        <v>22</v>
      </c>
      <c r="K22" s="3">
        <v>3.0</v>
      </c>
      <c r="L22" s="3">
        <v>3.0</v>
      </c>
    </row>
    <row r="23">
      <c r="B23" s="6" t="s">
        <v>133</v>
      </c>
      <c r="C23" s="6" t="s">
        <v>26</v>
      </c>
      <c r="D23" s="6" t="s">
        <v>18</v>
      </c>
      <c r="E23" s="6" t="s">
        <v>18</v>
      </c>
      <c r="F23" s="7" t="s">
        <v>20</v>
      </c>
      <c r="G23" s="7" t="s">
        <v>20</v>
      </c>
      <c r="H23" s="7" t="s">
        <v>22</v>
      </c>
      <c r="I23" s="7" t="s">
        <v>20</v>
      </c>
      <c r="J23" s="7" t="s">
        <v>22</v>
      </c>
      <c r="K23" s="7" t="s">
        <v>20</v>
      </c>
      <c r="L23" s="7" t="s">
        <v>20</v>
      </c>
    </row>
    <row r="24">
      <c r="B24" s="1" t="s">
        <v>135</v>
      </c>
      <c r="C24" s="1" t="s">
        <v>26</v>
      </c>
      <c r="D24" s="1" t="s">
        <v>18</v>
      </c>
      <c r="E24" s="1" t="s">
        <v>18</v>
      </c>
      <c r="F24" s="3">
        <v>4.0</v>
      </c>
      <c r="G24" s="3">
        <v>4.0</v>
      </c>
      <c r="H24" s="3" t="s">
        <v>22</v>
      </c>
      <c r="I24" s="3">
        <v>4.0</v>
      </c>
      <c r="J24" s="3" t="s">
        <v>22</v>
      </c>
      <c r="K24" s="3">
        <v>4.0</v>
      </c>
      <c r="L24" s="3">
        <v>4.0</v>
      </c>
    </row>
    <row r="25">
      <c r="B25" s="29" t="s">
        <v>137</v>
      </c>
      <c r="C25" s="29" t="s">
        <v>39</v>
      </c>
      <c r="D25" s="29" t="s">
        <v>18</v>
      </c>
      <c r="E25" s="29" t="s">
        <v>19</v>
      </c>
      <c r="F25" s="31" t="s">
        <v>61</v>
      </c>
      <c r="G25" s="31">
        <v>5.0</v>
      </c>
      <c r="H25" s="31" t="s">
        <v>22</v>
      </c>
      <c r="I25" s="31">
        <v>5.0</v>
      </c>
      <c r="J25" s="31" t="s">
        <v>22</v>
      </c>
      <c r="K25" s="31">
        <v>5.0</v>
      </c>
      <c r="L25" s="31" t="s">
        <v>22</v>
      </c>
    </row>
    <row r="26">
      <c r="B26" s="1" t="s">
        <v>140</v>
      </c>
      <c r="C26" s="1" t="s">
        <v>26</v>
      </c>
      <c r="D26" s="1" t="s">
        <v>18</v>
      </c>
      <c r="E26" s="1" t="s">
        <v>18</v>
      </c>
      <c r="F26" s="3">
        <v>4.0</v>
      </c>
      <c r="G26" s="3">
        <v>4.0</v>
      </c>
      <c r="H26" s="3" t="s">
        <v>22</v>
      </c>
      <c r="I26" s="3">
        <v>4.0</v>
      </c>
      <c r="J26" s="3" t="s">
        <v>22</v>
      </c>
      <c r="K26" s="3">
        <v>4.0</v>
      </c>
      <c r="L26" s="3">
        <v>4.0</v>
      </c>
    </row>
    <row r="27">
      <c r="B27" s="1" t="s">
        <v>143</v>
      </c>
      <c r="C27" s="1" t="s">
        <v>39</v>
      </c>
      <c r="D27" s="1" t="s">
        <v>18</v>
      </c>
      <c r="E27" s="1" t="s">
        <v>18</v>
      </c>
      <c r="F27" s="3">
        <v>4.0</v>
      </c>
      <c r="G27" s="3">
        <v>4.0</v>
      </c>
      <c r="H27" s="3" t="s">
        <v>22</v>
      </c>
      <c r="I27" s="3">
        <v>4.0</v>
      </c>
      <c r="J27" s="3" t="s">
        <v>22</v>
      </c>
      <c r="K27" s="3">
        <v>4.0</v>
      </c>
      <c r="L27" s="3" t="s">
        <v>22</v>
      </c>
    </row>
    <row r="28">
      <c r="B28" s="1" t="s">
        <v>146</v>
      </c>
      <c r="C28" s="1" t="s">
        <v>39</v>
      </c>
      <c r="D28" s="1" t="s">
        <v>19</v>
      </c>
      <c r="F28" s="3">
        <v>4.0</v>
      </c>
      <c r="G28" s="3">
        <v>4.0</v>
      </c>
      <c r="H28" s="3" t="s">
        <v>22</v>
      </c>
      <c r="I28" s="3">
        <v>4.0</v>
      </c>
      <c r="J28" s="3" t="s">
        <v>22</v>
      </c>
      <c r="K28" s="3">
        <v>4.0</v>
      </c>
      <c r="L28" s="3" t="s">
        <v>22</v>
      </c>
    </row>
    <row r="29">
      <c r="B29" s="1" t="s">
        <v>148</v>
      </c>
      <c r="C29" s="1" t="s">
        <v>26</v>
      </c>
      <c r="D29" s="1" t="s">
        <v>18</v>
      </c>
      <c r="E29" s="1" t="s">
        <v>18</v>
      </c>
      <c r="F29" s="3">
        <v>2.0</v>
      </c>
      <c r="G29" s="3">
        <v>2.0</v>
      </c>
      <c r="H29" s="3" t="s">
        <v>22</v>
      </c>
      <c r="I29" s="3">
        <v>2.0</v>
      </c>
      <c r="J29" s="3" t="s">
        <v>22</v>
      </c>
      <c r="K29" s="3">
        <v>2.0</v>
      </c>
      <c r="L29" s="3">
        <v>2.0</v>
      </c>
    </row>
    <row r="30">
      <c r="B30" s="1" t="s">
        <v>151</v>
      </c>
      <c r="C30" s="1" t="s">
        <v>39</v>
      </c>
      <c r="D30" s="1" t="s">
        <v>18</v>
      </c>
      <c r="E30" s="1" t="s">
        <v>18</v>
      </c>
      <c r="F30" s="3">
        <v>4.0</v>
      </c>
      <c r="G30" s="3">
        <v>4.0</v>
      </c>
      <c r="H30" s="3" t="s">
        <v>22</v>
      </c>
      <c r="I30" s="3">
        <v>4.0</v>
      </c>
      <c r="J30" s="3" t="s">
        <v>22</v>
      </c>
      <c r="K30" s="3">
        <v>4.0</v>
      </c>
      <c r="L30" s="3" t="s">
        <v>22</v>
      </c>
    </row>
    <row r="31">
      <c r="B31" s="1" t="s">
        <v>153</v>
      </c>
      <c r="C31" s="1" t="s">
        <v>39</v>
      </c>
      <c r="D31" s="1" t="s">
        <v>18</v>
      </c>
      <c r="E31" s="1" t="s">
        <v>18</v>
      </c>
      <c r="F31" s="3">
        <v>4.0</v>
      </c>
      <c r="G31" s="3">
        <v>4.0</v>
      </c>
      <c r="H31" s="3" t="s">
        <v>22</v>
      </c>
      <c r="I31" s="3">
        <v>4.0</v>
      </c>
      <c r="J31" s="3" t="s">
        <v>22</v>
      </c>
      <c r="K31" s="3">
        <v>4.0</v>
      </c>
      <c r="L31" s="3" t="s">
        <v>22</v>
      </c>
    </row>
    <row r="32">
      <c r="B32" s="1" t="s">
        <v>156</v>
      </c>
      <c r="C32" s="1" t="s">
        <v>39</v>
      </c>
      <c r="D32" s="1" t="s">
        <v>18</v>
      </c>
      <c r="E32" s="1" t="s">
        <v>18</v>
      </c>
      <c r="F32" s="3">
        <v>2.0</v>
      </c>
      <c r="G32" s="3">
        <v>2.0</v>
      </c>
      <c r="H32" s="3" t="s">
        <v>22</v>
      </c>
      <c r="I32" s="3">
        <v>2.0</v>
      </c>
      <c r="J32" s="3" t="s">
        <v>22</v>
      </c>
      <c r="K32" s="3">
        <v>2.0</v>
      </c>
      <c r="L32" s="3" t="s">
        <v>22</v>
      </c>
    </row>
    <row r="33">
      <c r="B33" s="6" t="s">
        <v>162</v>
      </c>
      <c r="C33" s="6" t="s">
        <v>82</v>
      </c>
      <c r="D33" s="6" t="s">
        <v>18</v>
      </c>
      <c r="E33" s="6" t="s">
        <v>18</v>
      </c>
      <c r="F33" s="7" t="s">
        <v>164</v>
      </c>
      <c r="G33" s="7" t="s">
        <v>22</v>
      </c>
      <c r="H33" s="7" t="s">
        <v>61</v>
      </c>
      <c r="I33" s="7" t="s">
        <v>61</v>
      </c>
      <c r="J33" s="7" t="s">
        <v>22</v>
      </c>
      <c r="K33" s="7" t="s">
        <v>22</v>
      </c>
      <c r="L33" s="7" t="s">
        <v>22</v>
      </c>
      <c r="M33" s="1">
        <v>1135633.0</v>
      </c>
      <c r="N33" s="10">
        <f>M33+$J$105</f>
        <v>4386533</v>
      </c>
      <c r="O33" s="10">
        <f>$J$106-N33</f>
        <v>2225327</v>
      </c>
      <c r="P33" s="10">
        <f>$J$106-N33</f>
        <v>2225327</v>
      </c>
    </row>
    <row r="34">
      <c r="F34" s="14"/>
      <c r="G34" s="14"/>
      <c r="H34" s="14"/>
      <c r="I34" s="14"/>
      <c r="J34" s="14"/>
      <c r="K34" s="14"/>
      <c r="L34" s="14"/>
    </row>
    <row r="35">
      <c r="B35" s="1" t="s">
        <v>166</v>
      </c>
      <c r="C35" s="1" t="s">
        <v>167</v>
      </c>
      <c r="D35" s="1" t="s">
        <v>18</v>
      </c>
      <c r="E35" s="1" t="s">
        <v>19</v>
      </c>
      <c r="F35" s="3" t="s">
        <v>168</v>
      </c>
      <c r="G35" s="3">
        <v>2.0</v>
      </c>
      <c r="H35" s="3">
        <v>2.0</v>
      </c>
      <c r="I35" s="3">
        <v>2.0</v>
      </c>
      <c r="J35" s="3" t="s">
        <v>22</v>
      </c>
      <c r="K35" s="3">
        <v>2.0</v>
      </c>
      <c r="L35" s="3">
        <v>2.0</v>
      </c>
    </row>
    <row r="36">
      <c r="B36" s="1" t="s">
        <v>172</v>
      </c>
      <c r="C36" s="1" t="s">
        <v>26</v>
      </c>
      <c r="D36" s="1" t="s">
        <v>18</v>
      </c>
      <c r="E36" s="1" t="s">
        <v>18</v>
      </c>
      <c r="F36" s="3">
        <v>3.0</v>
      </c>
      <c r="G36" s="3">
        <v>3.0</v>
      </c>
      <c r="H36" s="3" t="s">
        <v>22</v>
      </c>
      <c r="I36" s="3">
        <v>3.0</v>
      </c>
      <c r="J36" s="3" t="s">
        <v>22</v>
      </c>
      <c r="K36" s="3">
        <v>3.0</v>
      </c>
      <c r="L36" s="3">
        <v>3.0</v>
      </c>
    </row>
    <row r="37">
      <c r="B37" s="1" t="s">
        <v>173</v>
      </c>
      <c r="C37" s="1" t="s">
        <v>17</v>
      </c>
      <c r="D37" s="1" t="s">
        <v>18</v>
      </c>
      <c r="E37" s="1" t="s">
        <v>18</v>
      </c>
      <c r="F37" s="3">
        <v>3.0</v>
      </c>
      <c r="G37" s="3">
        <v>3.0</v>
      </c>
      <c r="H37" s="3" t="s">
        <v>22</v>
      </c>
      <c r="I37" s="3">
        <v>3.0</v>
      </c>
      <c r="J37" s="3">
        <v>3.0</v>
      </c>
      <c r="K37" s="3">
        <v>3.0</v>
      </c>
      <c r="L37" s="3">
        <v>3.0</v>
      </c>
    </row>
    <row r="38">
      <c r="B38" s="6" t="s">
        <v>174</v>
      </c>
      <c r="C38" s="6" t="s">
        <v>39</v>
      </c>
      <c r="D38" s="6" t="s">
        <v>18</v>
      </c>
      <c r="E38" s="6" t="s">
        <v>18</v>
      </c>
      <c r="F38" s="7" t="s">
        <v>20</v>
      </c>
      <c r="G38" s="7" t="s">
        <v>20</v>
      </c>
      <c r="H38" s="7" t="s">
        <v>22</v>
      </c>
      <c r="I38" s="7" t="s">
        <v>20</v>
      </c>
      <c r="J38" s="7" t="s">
        <v>22</v>
      </c>
      <c r="K38" s="7" t="s">
        <v>20</v>
      </c>
      <c r="L38" s="7" t="s">
        <v>22</v>
      </c>
    </row>
    <row r="39">
      <c r="B39" s="1" t="s">
        <v>175</v>
      </c>
      <c r="C39" s="1" t="s">
        <v>26</v>
      </c>
      <c r="D39" s="1" t="s">
        <v>18</v>
      </c>
      <c r="E39" s="1" t="s">
        <v>18</v>
      </c>
      <c r="F39" s="3">
        <v>4.0</v>
      </c>
      <c r="G39" s="3">
        <v>4.0</v>
      </c>
      <c r="H39" s="3" t="s">
        <v>22</v>
      </c>
      <c r="I39" s="3">
        <v>4.0</v>
      </c>
      <c r="J39" s="3" t="s">
        <v>22</v>
      </c>
      <c r="K39" s="3">
        <v>4.0</v>
      </c>
      <c r="L39" s="3">
        <v>4.0</v>
      </c>
    </row>
    <row r="40">
      <c r="B40" s="6" t="s">
        <v>176</v>
      </c>
      <c r="C40" s="6" t="s">
        <v>39</v>
      </c>
      <c r="D40" s="6" t="s">
        <v>18</v>
      </c>
      <c r="E40" s="6" t="s">
        <v>18</v>
      </c>
      <c r="F40" s="7" t="s">
        <v>61</v>
      </c>
      <c r="G40" s="7" t="s">
        <v>61</v>
      </c>
      <c r="H40" s="7" t="s">
        <v>22</v>
      </c>
      <c r="I40" s="7" t="s">
        <v>61</v>
      </c>
      <c r="J40" s="7" t="s">
        <v>22</v>
      </c>
      <c r="K40" s="7" t="s">
        <v>61</v>
      </c>
      <c r="L40" s="7" t="s">
        <v>22</v>
      </c>
      <c r="M40" s="1">
        <v>1347375.0</v>
      </c>
      <c r="N40" s="10">
        <f>M40+$J$105</f>
        <v>4598275</v>
      </c>
      <c r="O40" s="10">
        <f>$J$106-N40</f>
        <v>2013585</v>
      </c>
      <c r="P40" s="10">
        <f>$J$106-N40</f>
        <v>2013585</v>
      </c>
    </row>
    <row r="41">
      <c r="B41" s="6" t="s">
        <v>180</v>
      </c>
      <c r="C41" s="6" t="s">
        <v>82</v>
      </c>
      <c r="D41" s="6" t="s">
        <v>19</v>
      </c>
      <c r="E41" s="33"/>
      <c r="F41" s="7" t="s">
        <v>49</v>
      </c>
      <c r="G41" s="7" t="s">
        <v>130</v>
      </c>
      <c r="H41" s="7" t="s">
        <v>22</v>
      </c>
      <c r="I41" s="7" t="s">
        <v>130</v>
      </c>
      <c r="J41" s="7" t="s">
        <v>22</v>
      </c>
      <c r="K41" s="7" t="s">
        <v>22</v>
      </c>
      <c r="L41" s="7" t="s">
        <v>22</v>
      </c>
    </row>
    <row r="42">
      <c r="B42" s="4" t="s">
        <v>182</v>
      </c>
      <c r="C42" s="4" t="s">
        <v>183</v>
      </c>
      <c r="D42" s="4" t="s">
        <v>18</v>
      </c>
      <c r="E42" s="4" t="s">
        <v>18</v>
      </c>
      <c r="F42" s="34" t="s">
        <v>61</v>
      </c>
      <c r="G42" s="34" t="s">
        <v>22</v>
      </c>
      <c r="H42" s="34" t="s">
        <v>22</v>
      </c>
      <c r="I42" s="34" t="s">
        <v>61</v>
      </c>
      <c r="J42" s="34" t="s">
        <v>22</v>
      </c>
      <c r="K42" s="34" t="s">
        <v>22</v>
      </c>
      <c r="L42" s="34" t="s">
        <v>22</v>
      </c>
      <c r="M42" s="35" t="s">
        <v>22</v>
      </c>
      <c r="N42" s="35" t="s">
        <v>22</v>
      </c>
      <c r="O42" s="35" t="s">
        <v>22</v>
      </c>
      <c r="P42" s="35" t="s">
        <v>22</v>
      </c>
    </row>
    <row r="43">
      <c r="F43" s="14"/>
      <c r="G43" s="14"/>
      <c r="H43" s="14"/>
      <c r="I43" s="14"/>
      <c r="J43" s="14"/>
      <c r="K43" s="14"/>
      <c r="L43" s="14"/>
    </row>
    <row r="44">
      <c r="B44" s="1" t="s">
        <v>184</v>
      </c>
      <c r="C44" s="1" t="s">
        <v>26</v>
      </c>
      <c r="D44" s="1" t="s">
        <v>18</v>
      </c>
      <c r="E44" s="1" t="s">
        <v>18</v>
      </c>
      <c r="F44" s="3">
        <v>2.0</v>
      </c>
      <c r="G44" s="3">
        <v>2.0</v>
      </c>
      <c r="H44" s="3" t="s">
        <v>22</v>
      </c>
      <c r="I44" s="3">
        <v>2.0</v>
      </c>
      <c r="J44" s="3" t="s">
        <v>22</v>
      </c>
      <c r="K44" s="3">
        <v>2.0</v>
      </c>
      <c r="L44" s="3">
        <v>2.0</v>
      </c>
    </row>
    <row r="45">
      <c r="B45" s="1" t="s">
        <v>185</v>
      </c>
      <c r="C45" s="1" t="s">
        <v>39</v>
      </c>
      <c r="D45" s="1" t="s">
        <v>18</v>
      </c>
      <c r="E45" s="1" t="s">
        <v>18</v>
      </c>
      <c r="F45" s="3">
        <v>2.0</v>
      </c>
      <c r="G45" s="3">
        <v>2.0</v>
      </c>
      <c r="H45" s="3" t="s">
        <v>22</v>
      </c>
      <c r="I45" s="3">
        <v>2.0</v>
      </c>
      <c r="J45" s="3" t="s">
        <v>22</v>
      </c>
      <c r="K45" s="3">
        <v>2.0</v>
      </c>
      <c r="L45" s="3" t="s">
        <v>22</v>
      </c>
    </row>
    <row r="46">
      <c r="B46" s="1" t="s">
        <v>186</v>
      </c>
      <c r="C46" s="1" t="s">
        <v>187</v>
      </c>
      <c r="D46" s="1" t="s">
        <v>18</v>
      </c>
      <c r="E46" s="1" t="s">
        <v>18</v>
      </c>
      <c r="F46" s="3">
        <v>4.0</v>
      </c>
      <c r="G46" s="3">
        <v>4.0</v>
      </c>
      <c r="H46" s="3" t="s">
        <v>22</v>
      </c>
      <c r="I46" s="3">
        <v>4.0</v>
      </c>
      <c r="J46" s="3">
        <v>4.0</v>
      </c>
      <c r="K46" s="3" t="s">
        <v>22</v>
      </c>
      <c r="L46" s="3" t="s">
        <v>22</v>
      </c>
    </row>
    <row r="47">
      <c r="B47" s="1" t="s">
        <v>190</v>
      </c>
      <c r="C47" s="1" t="s">
        <v>111</v>
      </c>
      <c r="D47" s="1" t="s">
        <v>18</v>
      </c>
      <c r="E47" s="1" t="s">
        <v>18</v>
      </c>
      <c r="F47" s="3">
        <v>3.0</v>
      </c>
      <c r="G47" s="3">
        <v>3.0</v>
      </c>
      <c r="H47" s="3" t="s">
        <v>22</v>
      </c>
      <c r="I47" s="3">
        <v>3.0</v>
      </c>
      <c r="J47" s="3">
        <v>3.0</v>
      </c>
      <c r="K47" s="3">
        <v>3.0</v>
      </c>
      <c r="L47" s="3" t="s">
        <v>22</v>
      </c>
    </row>
    <row r="48">
      <c r="B48" s="1" t="s">
        <v>192</v>
      </c>
      <c r="C48" s="1" t="s">
        <v>82</v>
      </c>
      <c r="D48" s="1" t="s">
        <v>18</v>
      </c>
      <c r="E48" s="1" t="s">
        <v>18</v>
      </c>
      <c r="F48" s="3">
        <v>4.0</v>
      </c>
      <c r="G48" s="3">
        <v>4.0</v>
      </c>
      <c r="H48" s="3" t="s">
        <v>22</v>
      </c>
      <c r="I48" s="3">
        <v>4.0</v>
      </c>
      <c r="J48" s="3" t="s">
        <v>22</v>
      </c>
      <c r="K48" s="3" t="s">
        <v>22</v>
      </c>
      <c r="L48" s="3" t="s">
        <v>22</v>
      </c>
    </row>
    <row r="49">
      <c r="B49" s="1" t="s">
        <v>193</v>
      </c>
      <c r="C49" s="1" t="s">
        <v>82</v>
      </c>
      <c r="D49" s="1" t="s">
        <v>18</v>
      </c>
      <c r="E49" s="1" t="s">
        <v>18</v>
      </c>
      <c r="F49" s="3">
        <v>3.0</v>
      </c>
      <c r="G49" s="3">
        <v>3.0</v>
      </c>
      <c r="H49" s="3" t="s">
        <v>22</v>
      </c>
      <c r="I49" s="3">
        <v>3.0</v>
      </c>
      <c r="J49" s="3" t="s">
        <v>22</v>
      </c>
      <c r="K49" s="3" t="s">
        <v>22</v>
      </c>
      <c r="L49" s="3" t="s">
        <v>22</v>
      </c>
    </row>
    <row r="50">
      <c r="B50" s="6" t="s">
        <v>194</v>
      </c>
      <c r="C50" s="6" t="s">
        <v>187</v>
      </c>
      <c r="D50" s="6" t="s">
        <v>18</v>
      </c>
      <c r="E50" s="6" t="s">
        <v>19</v>
      </c>
      <c r="F50" s="7" t="s">
        <v>61</v>
      </c>
      <c r="G50" s="7" t="s">
        <v>61</v>
      </c>
      <c r="H50" s="7" t="s">
        <v>22</v>
      </c>
      <c r="I50" s="7" t="s">
        <v>61</v>
      </c>
      <c r="J50" s="7" t="s">
        <v>61</v>
      </c>
      <c r="K50" s="7" t="s">
        <v>22</v>
      </c>
      <c r="L50" s="7" t="s">
        <v>22</v>
      </c>
      <c r="M50" s="1">
        <v>920414.0</v>
      </c>
      <c r="N50" s="10">
        <f>M50+$J$105</f>
        <v>4171314</v>
      </c>
      <c r="O50" s="10">
        <f>$J$106-N50</f>
        <v>2440546</v>
      </c>
      <c r="P50" s="10">
        <f>$J$106-N50</f>
        <v>2440546</v>
      </c>
    </row>
    <row r="51">
      <c r="F51" s="14"/>
      <c r="G51" s="14"/>
      <c r="H51" s="14"/>
      <c r="I51" s="14"/>
      <c r="J51" s="14"/>
      <c r="K51" s="14"/>
      <c r="L51" s="14"/>
    </row>
    <row r="52">
      <c r="B52" s="6" t="s">
        <v>197</v>
      </c>
      <c r="C52" s="6" t="s">
        <v>39</v>
      </c>
      <c r="D52" s="6" t="s">
        <v>18</v>
      </c>
      <c r="E52" s="6" t="s">
        <v>19</v>
      </c>
      <c r="F52" s="7" t="s">
        <v>20</v>
      </c>
      <c r="G52" s="7" t="s">
        <v>20</v>
      </c>
      <c r="H52" s="7" t="s">
        <v>22</v>
      </c>
      <c r="I52" s="7" t="s">
        <v>20</v>
      </c>
      <c r="J52" s="7" t="s">
        <v>22</v>
      </c>
      <c r="K52" s="7" t="s">
        <v>20</v>
      </c>
      <c r="L52" s="7" t="s">
        <v>22</v>
      </c>
      <c r="M52" s="1">
        <v>92109.0</v>
      </c>
      <c r="N52" s="10">
        <f t="shared" ref="N52:N54" si="1">$J$104-M52</f>
        <v>1478311</v>
      </c>
      <c r="O52" s="10">
        <f t="shared" ref="O52:O54" si="2">$J$105-N52</f>
        <v>1772589</v>
      </c>
      <c r="P52" s="10">
        <f t="shared" ref="P52:P54" si="3">$J$106-N52</f>
        <v>5133549</v>
      </c>
    </row>
    <row r="53">
      <c r="B53" s="6" t="s">
        <v>200</v>
      </c>
      <c r="C53" s="6" t="s">
        <v>39</v>
      </c>
      <c r="D53" s="6" t="s">
        <v>18</v>
      </c>
      <c r="E53" s="6" t="s">
        <v>18</v>
      </c>
      <c r="F53" s="7" t="s">
        <v>20</v>
      </c>
      <c r="G53" s="7" t="s">
        <v>20</v>
      </c>
      <c r="H53" s="7" t="s">
        <v>22</v>
      </c>
      <c r="I53" s="7" t="s">
        <v>20</v>
      </c>
      <c r="J53" s="7" t="s">
        <v>22</v>
      </c>
      <c r="K53" s="7" t="s">
        <v>20</v>
      </c>
      <c r="L53" s="7" t="s">
        <v>22</v>
      </c>
      <c r="M53" s="1">
        <v>321972.0</v>
      </c>
      <c r="N53" s="10">
        <f t="shared" si="1"/>
        <v>1248448</v>
      </c>
      <c r="O53" s="10">
        <f t="shared" si="2"/>
        <v>2002452</v>
      </c>
      <c r="P53" s="10">
        <f t="shared" si="3"/>
        <v>5363412</v>
      </c>
    </row>
    <row r="54">
      <c r="B54" s="6" t="s">
        <v>202</v>
      </c>
      <c r="C54" s="6" t="s">
        <v>82</v>
      </c>
      <c r="D54" s="6" t="s">
        <v>18</v>
      </c>
      <c r="E54" s="6" t="s">
        <v>19</v>
      </c>
      <c r="F54" s="7" t="s">
        <v>20</v>
      </c>
      <c r="G54" s="7" t="s">
        <v>20</v>
      </c>
      <c r="H54" s="7" t="s">
        <v>22</v>
      </c>
      <c r="I54" s="7" t="s">
        <v>20</v>
      </c>
      <c r="J54" s="7" t="s">
        <v>22</v>
      </c>
      <c r="K54" s="7" t="s">
        <v>22</v>
      </c>
      <c r="L54" s="7" t="s">
        <v>22</v>
      </c>
      <c r="M54" s="1">
        <v>404076.0</v>
      </c>
      <c r="N54" s="10">
        <f t="shared" si="1"/>
        <v>1166344</v>
      </c>
      <c r="O54" s="10">
        <f t="shared" si="2"/>
        <v>2084556</v>
      </c>
      <c r="P54" s="10">
        <f t="shared" si="3"/>
        <v>5445516</v>
      </c>
    </row>
    <row r="55">
      <c r="F55" s="14"/>
      <c r="G55" s="14"/>
      <c r="H55" s="14"/>
      <c r="I55" s="14"/>
      <c r="J55" s="14"/>
      <c r="K55" s="14"/>
      <c r="L55" s="14"/>
    </row>
    <row r="56">
      <c r="B56" s="1" t="s">
        <v>203</v>
      </c>
      <c r="C56" s="1" t="s">
        <v>17</v>
      </c>
      <c r="D56" s="1" t="s">
        <v>18</v>
      </c>
      <c r="E56" s="1" t="s">
        <v>19</v>
      </c>
      <c r="F56" s="3">
        <v>2.0</v>
      </c>
      <c r="G56" s="3">
        <v>2.0</v>
      </c>
      <c r="H56" s="3" t="s">
        <v>22</v>
      </c>
      <c r="I56" s="3">
        <v>2.0</v>
      </c>
      <c r="J56" s="3">
        <v>2.0</v>
      </c>
      <c r="K56" s="3">
        <v>2.0</v>
      </c>
      <c r="L56" s="3">
        <v>2.0</v>
      </c>
    </row>
    <row r="57">
      <c r="B57" s="1" t="s">
        <v>205</v>
      </c>
      <c r="C57" s="1" t="s">
        <v>187</v>
      </c>
      <c r="D57" s="1" t="s">
        <v>18</v>
      </c>
      <c r="E57" s="1" t="s">
        <v>18</v>
      </c>
      <c r="F57" s="3">
        <v>2.0</v>
      </c>
      <c r="G57" s="3">
        <v>2.0</v>
      </c>
      <c r="H57" s="3" t="s">
        <v>22</v>
      </c>
      <c r="I57" s="3">
        <v>2.0</v>
      </c>
      <c r="J57" s="3">
        <v>2.0</v>
      </c>
      <c r="K57" s="3" t="s">
        <v>22</v>
      </c>
      <c r="L57" s="3" t="s">
        <v>22</v>
      </c>
    </row>
    <row r="58">
      <c r="B58" s="1" t="s">
        <v>207</v>
      </c>
      <c r="C58" s="1" t="s">
        <v>17</v>
      </c>
      <c r="D58" s="1" t="s">
        <v>18</v>
      </c>
      <c r="E58" s="1" t="s">
        <v>19</v>
      </c>
      <c r="F58" s="3">
        <v>4.0</v>
      </c>
      <c r="G58" s="3">
        <v>4.0</v>
      </c>
      <c r="H58" s="3" t="s">
        <v>22</v>
      </c>
      <c r="I58" s="3">
        <v>4.0</v>
      </c>
      <c r="J58" s="3">
        <v>4.0</v>
      </c>
      <c r="K58" s="3">
        <v>4.0</v>
      </c>
      <c r="L58" s="3">
        <v>3.0</v>
      </c>
    </row>
    <row r="59">
      <c r="B59" s="6" t="s">
        <v>209</v>
      </c>
      <c r="C59" s="6" t="s">
        <v>39</v>
      </c>
      <c r="D59" s="6" t="s">
        <v>18</v>
      </c>
      <c r="E59" s="6" t="s">
        <v>19</v>
      </c>
      <c r="F59" s="7" t="s">
        <v>20</v>
      </c>
      <c r="G59" s="7" t="s">
        <v>20</v>
      </c>
      <c r="H59" s="7" t="s">
        <v>22</v>
      </c>
      <c r="I59" s="7" t="s">
        <v>20</v>
      </c>
      <c r="J59" s="7" t="s">
        <v>22</v>
      </c>
      <c r="K59" s="7" t="s">
        <v>20</v>
      </c>
      <c r="L59" s="7" t="s">
        <v>22</v>
      </c>
      <c r="M59" s="1">
        <v>145723.0</v>
      </c>
      <c r="N59" s="10">
        <f>$J$104-M59</f>
        <v>1424697</v>
      </c>
      <c r="O59" s="10">
        <f>$J$105-N59</f>
        <v>1826203</v>
      </c>
      <c r="P59" s="10">
        <f>$J$106-N59</f>
        <v>5187163</v>
      </c>
    </row>
    <row r="60">
      <c r="F60" s="14"/>
      <c r="G60" s="14"/>
      <c r="H60" s="14"/>
      <c r="I60" s="14"/>
      <c r="J60" s="14"/>
      <c r="K60" s="14"/>
      <c r="L60" s="14"/>
    </row>
    <row r="61">
      <c r="B61" s="1" t="s">
        <v>212</v>
      </c>
      <c r="C61" s="1" t="s">
        <v>39</v>
      </c>
      <c r="D61" s="1" t="s">
        <v>18</v>
      </c>
      <c r="E61" s="1" t="s">
        <v>18</v>
      </c>
      <c r="F61" s="3">
        <v>4.0</v>
      </c>
      <c r="G61" s="3">
        <v>4.0</v>
      </c>
      <c r="H61" s="3" t="s">
        <v>22</v>
      </c>
      <c r="I61" s="3">
        <v>4.0</v>
      </c>
      <c r="J61" s="3" t="s">
        <v>22</v>
      </c>
      <c r="K61" s="3">
        <v>4.0</v>
      </c>
      <c r="L61" s="3" t="s">
        <v>22</v>
      </c>
    </row>
    <row r="62">
      <c r="B62" s="37" t="s">
        <v>214</v>
      </c>
      <c r="C62" s="37" t="s">
        <v>39</v>
      </c>
      <c r="D62" s="37" t="s">
        <v>19</v>
      </c>
      <c r="E62" s="38"/>
      <c r="F62" s="18">
        <v>0.0</v>
      </c>
      <c r="G62" s="18">
        <v>0.0</v>
      </c>
      <c r="H62" s="18" t="s">
        <v>22</v>
      </c>
      <c r="I62" s="18">
        <v>0.0</v>
      </c>
      <c r="J62" s="18" t="s">
        <v>22</v>
      </c>
      <c r="K62" s="18">
        <v>0.0</v>
      </c>
      <c r="L62" s="18" t="s">
        <v>22</v>
      </c>
      <c r="Q62" s="1" t="s">
        <v>215</v>
      </c>
    </row>
    <row r="63">
      <c r="B63" s="1" t="s">
        <v>216</v>
      </c>
      <c r="C63" s="1" t="s">
        <v>39</v>
      </c>
      <c r="D63" s="1" t="s">
        <v>18</v>
      </c>
      <c r="E63" s="1" t="s">
        <v>18</v>
      </c>
      <c r="F63" s="3">
        <v>2.0</v>
      </c>
      <c r="G63" s="3">
        <v>2.0</v>
      </c>
      <c r="H63" s="3" t="s">
        <v>22</v>
      </c>
      <c r="I63" s="3">
        <v>2.0</v>
      </c>
      <c r="J63" s="3" t="s">
        <v>22</v>
      </c>
      <c r="K63" s="3">
        <v>2.0</v>
      </c>
      <c r="L63" s="3" t="s">
        <v>22</v>
      </c>
    </row>
    <row r="64">
      <c r="B64" s="3">
        <v>121.0</v>
      </c>
      <c r="C64" s="1" t="s">
        <v>39</v>
      </c>
      <c r="D64" s="1" t="s">
        <v>18</v>
      </c>
      <c r="E64" s="1" t="s">
        <v>18</v>
      </c>
      <c r="F64" s="3">
        <v>2.0</v>
      </c>
      <c r="G64" s="3">
        <v>2.0</v>
      </c>
      <c r="H64" s="3" t="s">
        <v>22</v>
      </c>
      <c r="I64" s="3">
        <v>2.0</v>
      </c>
      <c r="J64" s="3" t="s">
        <v>22</v>
      </c>
      <c r="K64" s="3">
        <v>2.0</v>
      </c>
      <c r="L64" s="3" t="s">
        <v>22</v>
      </c>
    </row>
    <row r="65">
      <c r="B65" s="1" t="s">
        <v>217</v>
      </c>
      <c r="C65" s="1" t="s">
        <v>39</v>
      </c>
      <c r="D65" s="1" t="s">
        <v>18</v>
      </c>
      <c r="E65" s="1" t="s">
        <v>18</v>
      </c>
      <c r="F65" s="3">
        <v>3.0</v>
      </c>
      <c r="G65" s="3">
        <v>3.0</v>
      </c>
      <c r="H65" s="3" t="s">
        <v>22</v>
      </c>
      <c r="I65" s="3">
        <v>3.0</v>
      </c>
      <c r="J65" s="3" t="s">
        <v>22</v>
      </c>
      <c r="K65" s="3">
        <v>3.0</v>
      </c>
      <c r="L65" s="3" t="s">
        <v>22</v>
      </c>
    </row>
    <row r="66">
      <c r="F66" s="14"/>
      <c r="G66" s="14"/>
      <c r="H66" s="14"/>
      <c r="I66" s="14"/>
      <c r="J66" s="14"/>
      <c r="K66" s="14"/>
      <c r="L66" s="14"/>
    </row>
    <row r="67">
      <c r="B67" s="1" t="s">
        <v>219</v>
      </c>
      <c r="C67" s="1" t="s">
        <v>39</v>
      </c>
      <c r="D67" s="1" t="s">
        <v>18</v>
      </c>
      <c r="E67" s="1" t="s">
        <v>18</v>
      </c>
      <c r="F67" s="3">
        <v>3.0</v>
      </c>
      <c r="G67" s="3">
        <v>3.0</v>
      </c>
      <c r="H67" s="3" t="s">
        <v>22</v>
      </c>
      <c r="I67" s="3">
        <v>3.0</v>
      </c>
      <c r="J67" s="3" t="s">
        <v>22</v>
      </c>
      <c r="K67" s="3">
        <v>3.0</v>
      </c>
      <c r="L67" s="3" t="s">
        <v>22</v>
      </c>
    </row>
    <row r="68">
      <c r="B68" s="1" t="s">
        <v>220</v>
      </c>
      <c r="C68" s="1" t="s">
        <v>39</v>
      </c>
      <c r="D68" s="1" t="s">
        <v>18</v>
      </c>
      <c r="E68" s="1" t="s">
        <v>18</v>
      </c>
      <c r="F68" s="3">
        <v>2.0</v>
      </c>
      <c r="G68" s="3">
        <v>2.0</v>
      </c>
      <c r="H68" s="3" t="s">
        <v>22</v>
      </c>
      <c r="I68" s="3">
        <v>2.0</v>
      </c>
      <c r="J68" s="3" t="s">
        <v>22</v>
      </c>
      <c r="K68" s="3">
        <v>2.0</v>
      </c>
      <c r="L68" s="3" t="s">
        <v>22</v>
      </c>
    </row>
    <row r="69">
      <c r="B69" s="1" t="s">
        <v>221</v>
      </c>
      <c r="C69" s="1" t="s">
        <v>39</v>
      </c>
      <c r="D69" s="1" t="s">
        <v>18</v>
      </c>
      <c r="E69" s="1" t="s">
        <v>18</v>
      </c>
      <c r="F69" s="3">
        <v>3.0</v>
      </c>
      <c r="G69" s="3">
        <v>3.0</v>
      </c>
      <c r="H69" s="3" t="s">
        <v>22</v>
      </c>
      <c r="I69" s="3">
        <v>3.0</v>
      </c>
      <c r="J69" s="3" t="s">
        <v>22</v>
      </c>
      <c r="K69" s="3">
        <v>3.0</v>
      </c>
      <c r="L69" s="3" t="s">
        <v>22</v>
      </c>
    </row>
    <row r="70">
      <c r="F70" s="14"/>
      <c r="G70" s="14"/>
      <c r="H70" s="14"/>
      <c r="I70" s="14"/>
      <c r="J70" s="14"/>
      <c r="K70" s="14"/>
      <c r="L70" s="14"/>
    </row>
    <row r="71">
      <c r="B71" s="6" t="s">
        <v>222</v>
      </c>
      <c r="C71" s="6" t="s">
        <v>223</v>
      </c>
      <c r="D71" s="6" t="s">
        <v>18</v>
      </c>
      <c r="E71" s="6" t="s">
        <v>18</v>
      </c>
      <c r="F71" s="7" t="s">
        <v>20</v>
      </c>
      <c r="G71" s="7" t="s">
        <v>22</v>
      </c>
      <c r="H71" s="7" t="s">
        <v>22</v>
      </c>
      <c r="I71" s="7" t="s">
        <v>20</v>
      </c>
      <c r="J71" s="7" t="s">
        <v>20</v>
      </c>
      <c r="K71" s="7" t="s">
        <v>22</v>
      </c>
      <c r="L71" s="7" t="s">
        <v>22</v>
      </c>
      <c r="M71" s="1">
        <v>1393456.0</v>
      </c>
      <c r="N71" s="10">
        <f>J104+M71</f>
        <v>2963876</v>
      </c>
      <c r="O71" s="10">
        <f>J105-N71</f>
        <v>287024</v>
      </c>
      <c r="P71" s="10">
        <f t="shared" ref="P71:P73" si="4">$J$106-N71</f>
        <v>3647984</v>
      </c>
    </row>
    <row r="72">
      <c r="B72" s="6" t="s">
        <v>226</v>
      </c>
      <c r="C72" s="6" t="s">
        <v>82</v>
      </c>
      <c r="D72" s="6" t="s">
        <v>18</v>
      </c>
      <c r="E72" s="6" t="s">
        <v>18</v>
      </c>
      <c r="F72" s="7" t="s">
        <v>49</v>
      </c>
      <c r="G72" s="7" t="s">
        <v>49</v>
      </c>
      <c r="H72" s="7" t="s">
        <v>22</v>
      </c>
      <c r="I72" s="7" t="s">
        <v>49</v>
      </c>
      <c r="J72" s="7" t="s">
        <v>22</v>
      </c>
      <c r="K72" s="7" t="s">
        <v>22</v>
      </c>
      <c r="L72" s="7" t="s">
        <v>22</v>
      </c>
      <c r="M72" s="1">
        <v>606161.0</v>
      </c>
      <c r="N72" s="10">
        <f>J103+M72</f>
        <v>1336341</v>
      </c>
      <c r="O72" s="10">
        <f>J104-N72</f>
        <v>234079</v>
      </c>
      <c r="P72" s="10">
        <f t="shared" si="4"/>
        <v>5275519</v>
      </c>
    </row>
    <row r="73">
      <c r="B73" s="6" t="s">
        <v>227</v>
      </c>
      <c r="C73" s="6" t="s">
        <v>82</v>
      </c>
      <c r="D73" s="6" t="s">
        <v>18</v>
      </c>
      <c r="E73" s="6" t="s">
        <v>18</v>
      </c>
      <c r="F73" s="7" t="s">
        <v>49</v>
      </c>
      <c r="G73" s="7" t="s">
        <v>49</v>
      </c>
      <c r="H73" s="7" t="s">
        <v>22</v>
      </c>
      <c r="I73" s="7" t="s">
        <v>49</v>
      </c>
      <c r="J73" s="7" t="s">
        <v>22</v>
      </c>
      <c r="K73" s="7" t="s">
        <v>22</v>
      </c>
      <c r="L73" s="7" t="s">
        <v>22</v>
      </c>
      <c r="M73" s="1">
        <v>426815.0</v>
      </c>
      <c r="N73" s="10">
        <f>J103+M73</f>
        <v>1156995</v>
      </c>
      <c r="O73" s="10">
        <f>J104-N73</f>
        <v>413425</v>
      </c>
      <c r="P73" s="10">
        <f t="shared" si="4"/>
        <v>5454865</v>
      </c>
    </row>
    <row r="74">
      <c r="F74" s="14"/>
      <c r="G74" s="14"/>
      <c r="H74" s="14"/>
      <c r="I74" s="14"/>
      <c r="J74" s="14"/>
      <c r="K74" s="14"/>
      <c r="L74" s="14"/>
    </row>
    <row r="75">
      <c r="B75" s="6" t="s">
        <v>229</v>
      </c>
      <c r="C75" s="6" t="s">
        <v>39</v>
      </c>
      <c r="D75" s="6" t="s">
        <v>18</v>
      </c>
      <c r="E75" s="6" t="s">
        <v>18</v>
      </c>
      <c r="F75" s="7" t="s">
        <v>20</v>
      </c>
      <c r="G75" s="7" t="s">
        <v>20</v>
      </c>
      <c r="H75" s="7" t="s">
        <v>22</v>
      </c>
      <c r="I75" s="7" t="s">
        <v>20</v>
      </c>
      <c r="J75" s="7" t="s">
        <v>22</v>
      </c>
      <c r="K75" s="7" t="s">
        <v>20</v>
      </c>
      <c r="L75" s="7" t="s">
        <v>22</v>
      </c>
      <c r="M75" s="1">
        <v>428702.0</v>
      </c>
      <c r="N75" s="1">
        <f>M75+J104</f>
        <v>1999122</v>
      </c>
      <c r="O75" s="10">
        <f>J105-N75</f>
        <v>1251778</v>
      </c>
      <c r="P75" s="10">
        <f t="shared" ref="P75:P76" si="5">$J$106-N75</f>
        <v>4612738</v>
      </c>
    </row>
    <row r="76">
      <c r="B76" s="6" t="s">
        <v>231</v>
      </c>
      <c r="C76" s="6" t="s">
        <v>82</v>
      </c>
      <c r="D76" s="6" t="s">
        <v>18</v>
      </c>
      <c r="E76" s="6" t="s">
        <v>18</v>
      </c>
      <c r="F76" s="7" t="s">
        <v>61</v>
      </c>
      <c r="G76" s="7" t="s">
        <v>61</v>
      </c>
      <c r="H76" s="7" t="s">
        <v>22</v>
      </c>
      <c r="I76" s="7" t="s">
        <v>61</v>
      </c>
      <c r="J76" s="7" t="s">
        <v>22</v>
      </c>
      <c r="K76" s="7" t="s">
        <v>22</v>
      </c>
      <c r="L76" s="7" t="s">
        <v>22</v>
      </c>
      <c r="M76" s="1">
        <v>1209842.0</v>
      </c>
      <c r="N76" s="10">
        <f>M76+J104</f>
        <v>2780262</v>
      </c>
      <c r="O76" s="10">
        <f>J105-N76</f>
        <v>470638</v>
      </c>
      <c r="P76" s="10">
        <f t="shared" si="5"/>
        <v>3831598</v>
      </c>
    </row>
    <row r="77">
      <c r="B77" s="4" t="s">
        <v>232</v>
      </c>
      <c r="C77" s="4" t="s">
        <v>39</v>
      </c>
      <c r="D77" s="4" t="s">
        <v>18</v>
      </c>
      <c r="E77" s="4" t="s">
        <v>18</v>
      </c>
      <c r="F77" s="34" t="s">
        <v>61</v>
      </c>
      <c r="G77" s="34" t="s">
        <v>61</v>
      </c>
      <c r="H77" s="34" t="s">
        <v>22</v>
      </c>
      <c r="I77" s="34" t="s">
        <v>61</v>
      </c>
      <c r="J77" s="34" t="s">
        <v>22</v>
      </c>
      <c r="K77" s="34" t="s">
        <v>61</v>
      </c>
      <c r="L77" s="34" t="s">
        <v>22</v>
      </c>
      <c r="M77" s="35" t="s">
        <v>22</v>
      </c>
      <c r="N77" s="35" t="s">
        <v>22</v>
      </c>
      <c r="O77" s="35" t="s">
        <v>22</v>
      </c>
      <c r="P77" s="35" t="s">
        <v>22</v>
      </c>
    </row>
    <row r="81">
      <c r="B81" s="1" t="s">
        <v>233</v>
      </c>
      <c r="F81" s="1" t="s">
        <v>234</v>
      </c>
      <c r="G81" s="1" t="s">
        <v>235</v>
      </c>
      <c r="H81" s="1" t="s">
        <v>236</v>
      </c>
      <c r="I81" s="1" t="s">
        <v>237</v>
      </c>
      <c r="J81" s="1" t="s">
        <v>238</v>
      </c>
    </row>
    <row r="83">
      <c r="B83" s="1" t="s">
        <v>239</v>
      </c>
      <c r="C83" s="1">
        <v>1.0</v>
      </c>
      <c r="F83" s="1" t="s">
        <v>240</v>
      </c>
      <c r="G83" s="1">
        <v>11.0</v>
      </c>
      <c r="H83" s="1">
        <v>1.0</v>
      </c>
      <c r="I83" s="1">
        <v>1.0</v>
      </c>
      <c r="J83" s="10">
        <f t="shared" ref="J83:J94" si="6">(G83*20000)+(H83*100000)+(I83*250000)</f>
        <v>570000</v>
      </c>
    </row>
    <row r="84">
      <c r="B84" s="1" t="s">
        <v>242</v>
      </c>
      <c r="C84" s="1">
        <v>6.0</v>
      </c>
      <c r="F84" s="1" t="s">
        <v>243</v>
      </c>
      <c r="G84" s="1">
        <v>14.0</v>
      </c>
      <c r="H84" s="1">
        <v>3.0</v>
      </c>
      <c r="J84" s="10">
        <f t="shared" si="6"/>
        <v>580000</v>
      </c>
    </row>
    <row r="85">
      <c r="B85" s="1" t="s">
        <v>244</v>
      </c>
      <c r="C85" s="1">
        <v>4.0</v>
      </c>
      <c r="F85" s="1" t="s">
        <v>245</v>
      </c>
      <c r="G85" s="1">
        <v>13.0</v>
      </c>
      <c r="H85" s="1">
        <v>2.0</v>
      </c>
      <c r="J85" s="10">
        <f t="shared" si="6"/>
        <v>460000</v>
      </c>
    </row>
    <row r="86">
      <c r="B86" s="1" t="s">
        <v>246</v>
      </c>
      <c r="C86" s="1">
        <v>18.0</v>
      </c>
      <c r="F86" s="1" t="s">
        <v>247</v>
      </c>
      <c r="G86" s="1">
        <v>4.0</v>
      </c>
      <c r="H86" s="1">
        <v>2.0</v>
      </c>
      <c r="J86" s="10">
        <f t="shared" si="6"/>
        <v>280000</v>
      </c>
    </row>
    <row r="87">
      <c r="B87" s="1" t="s">
        <v>248</v>
      </c>
      <c r="C87" s="1">
        <v>13.0</v>
      </c>
      <c r="F87" s="1" t="s">
        <v>249</v>
      </c>
      <c r="G87" s="1">
        <v>17.0</v>
      </c>
      <c r="H87" s="1">
        <v>2.0</v>
      </c>
      <c r="J87" s="10">
        <f t="shared" si="6"/>
        <v>540000</v>
      </c>
    </row>
    <row r="88">
      <c r="F88" s="1" t="s">
        <v>251</v>
      </c>
      <c r="G88" s="1">
        <v>10.0</v>
      </c>
      <c r="H88" s="1">
        <v>1.0</v>
      </c>
      <c r="J88" s="10">
        <f t="shared" si="6"/>
        <v>300000</v>
      </c>
    </row>
    <row r="89">
      <c r="B89" s="1" t="s">
        <v>252</v>
      </c>
      <c r="C89" s="1">
        <v>15.0</v>
      </c>
      <c r="F89" s="1" t="s">
        <v>253</v>
      </c>
      <c r="G89" s="1">
        <v>6.0</v>
      </c>
      <c r="H89" s="1">
        <v>2.0</v>
      </c>
      <c r="J89" s="10">
        <f t="shared" si="6"/>
        <v>320000</v>
      </c>
    </row>
    <row r="90">
      <c r="F90" s="1" t="s">
        <v>254</v>
      </c>
      <c r="G90" s="1">
        <v>21.0</v>
      </c>
      <c r="H90" s="1">
        <v>3.0</v>
      </c>
      <c r="I90" s="1">
        <v>1.0</v>
      </c>
      <c r="J90" s="10">
        <f t="shared" si="6"/>
        <v>970000</v>
      </c>
    </row>
    <row r="91">
      <c r="F91" s="1" t="s">
        <v>255</v>
      </c>
      <c r="G91" s="1">
        <v>8.0</v>
      </c>
      <c r="H91" s="1">
        <v>2.0</v>
      </c>
      <c r="J91" s="10">
        <f t="shared" si="6"/>
        <v>360000</v>
      </c>
    </row>
    <row r="92">
      <c r="F92" s="1" t="s">
        <v>256</v>
      </c>
      <c r="G92" s="1">
        <v>9.0</v>
      </c>
      <c r="J92" s="10">
        <f t="shared" si="6"/>
        <v>180000</v>
      </c>
    </row>
    <row r="93">
      <c r="F93" s="1" t="s">
        <v>258</v>
      </c>
      <c r="G93" s="1">
        <v>0.0</v>
      </c>
      <c r="H93" s="1">
        <v>0.0</v>
      </c>
      <c r="J93" s="10">
        <f t="shared" si="6"/>
        <v>0</v>
      </c>
    </row>
    <row r="94">
      <c r="F94" s="1" t="s">
        <v>259</v>
      </c>
      <c r="G94" s="1">
        <v>107.0</v>
      </c>
      <c r="H94" s="1">
        <v>55.0</v>
      </c>
      <c r="I94" s="1">
        <v>15.0</v>
      </c>
      <c r="J94" s="10">
        <f t="shared" si="6"/>
        <v>11390000</v>
      </c>
    </row>
    <row r="96">
      <c r="F96" s="1" t="s">
        <v>260</v>
      </c>
      <c r="G96" s="1">
        <v>16.0</v>
      </c>
      <c r="J96" s="10">
        <f>G96*850000</f>
        <v>13600000</v>
      </c>
    </row>
    <row r="99">
      <c r="F99" s="1" t="s">
        <v>261</v>
      </c>
      <c r="G99" s="1" t="s">
        <v>76</v>
      </c>
      <c r="H99" s="1" t="s">
        <v>262</v>
      </c>
      <c r="I99" s="1" t="s">
        <v>263</v>
      </c>
      <c r="J99" s="1" t="s">
        <v>264</v>
      </c>
    </row>
    <row r="100">
      <c r="F100" s="1">
        <v>0.0</v>
      </c>
      <c r="G100" s="1">
        <v>100000.0</v>
      </c>
      <c r="H100" s="1">
        <v>100000.0</v>
      </c>
      <c r="I100" s="10">
        <f t="shared" ref="I100:I106" si="7">SUM($G$100:G100)</f>
        <v>100000</v>
      </c>
      <c r="J100" s="10">
        <f t="shared" ref="J100:J106" si="8">SUM($H$100:H100)</f>
        <v>100000</v>
      </c>
    </row>
    <row r="101">
      <c r="F101" s="1">
        <v>1.0</v>
      </c>
      <c r="G101" s="1">
        <v>210060.0</v>
      </c>
      <c r="H101" s="1">
        <v>0.0</v>
      </c>
      <c r="I101" s="10">
        <f t="shared" si="7"/>
        <v>310060</v>
      </c>
      <c r="J101" s="10">
        <f t="shared" si="8"/>
        <v>100000</v>
      </c>
    </row>
    <row r="102">
      <c r="F102" s="1">
        <v>2.0</v>
      </c>
      <c r="G102" s="1">
        <f t="shared" ref="G102:G106" si="9">G101*2</f>
        <v>420120</v>
      </c>
      <c r="H102" s="1">
        <v>210060.0</v>
      </c>
      <c r="I102" s="10">
        <f t="shared" si="7"/>
        <v>730180</v>
      </c>
      <c r="J102" s="10">
        <f t="shared" si="8"/>
        <v>310060</v>
      </c>
    </row>
    <row r="103">
      <c r="F103" s="1">
        <v>3.0</v>
      </c>
      <c r="G103" s="1">
        <f t="shared" si="9"/>
        <v>840240</v>
      </c>
      <c r="H103" s="1">
        <v>420120.0</v>
      </c>
      <c r="I103" s="10">
        <f t="shared" si="7"/>
        <v>1570420</v>
      </c>
      <c r="J103" s="10">
        <f t="shared" si="8"/>
        <v>730180</v>
      </c>
    </row>
    <row r="104">
      <c r="F104" s="1">
        <v>4.0</v>
      </c>
      <c r="G104" s="1">
        <f t="shared" si="9"/>
        <v>1680480</v>
      </c>
      <c r="H104" s="1">
        <v>840240.0</v>
      </c>
      <c r="I104" s="10">
        <f t="shared" si="7"/>
        <v>3250900</v>
      </c>
      <c r="J104" s="10">
        <f t="shared" si="8"/>
        <v>1570420</v>
      </c>
    </row>
    <row r="105">
      <c r="F105" s="1">
        <v>5.0</v>
      </c>
      <c r="G105" s="1">
        <f t="shared" si="9"/>
        <v>3360960</v>
      </c>
      <c r="H105" s="1">
        <v>1680480.0</v>
      </c>
      <c r="I105" s="10">
        <f t="shared" si="7"/>
        <v>6611860</v>
      </c>
      <c r="J105" s="10">
        <f t="shared" si="8"/>
        <v>3250900</v>
      </c>
    </row>
    <row r="106">
      <c r="F106" s="1">
        <v>6.0</v>
      </c>
      <c r="G106" s="1">
        <f t="shared" si="9"/>
        <v>6721920</v>
      </c>
      <c r="H106" s="1">
        <v>3360960.0</v>
      </c>
      <c r="I106" s="10">
        <f t="shared" si="7"/>
        <v>13333780</v>
      </c>
      <c r="J106" s="10">
        <f t="shared" si="8"/>
        <v>6611860</v>
      </c>
    </row>
    <row r="108">
      <c r="B108" s="1" t="s">
        <v>315</v>
      </c>
    </row>
    <row r="110">
      <c r="B110" s="1" t="s">
        <v>318</v>
      </c>
      <c r="C110" s="1" t="s">
        <v>321</v>
      </c>
      <c r="D110" s="1" t="s">
        <v>322</v>
      </c>
      <c r="E110" s="3" t="s">
        <v>323</v>
      </c>
      <c r="F110" s="1" t="s">
        <v>326</v>
      </c>
      <c r="G110" s="1" t="s">
        <v>71</v>
      </c>
    </row>
    <row r="111">
      <c r="B111" s="1" t="s">
        <v>331</v>
      </c>
      <c r="C111" s="1" t="s">
        <v>255</v>
      </c>
      <c r="D111" s="1" t="s">
        <v>18</v>
      </c>
      <c r="E111" s="3">
        <v>20.0</v>
      </c>
      <c r="F111" s="1"/>
      <c r="G111" s="1"/>
    </row>
    <row r="112">
      <c r="B112" s="1" t="s">
        <v>334</v>
      </c>
      <c r="C112" s="1" t="s">
        <v>249</v>
      </c>
      <c r="D112" s="1" t="s">
        <v>18</v>
      </c>
      <c r="E112" s="3">
        <v>20.0</v>
      </c>
      <c r="F112" s="1"/>
      <c r="G112" s="1"/>
    </row>
    <row r="113">
      <c r="B113" s="1" t="s">
        <v>335</v>
      </c>
      <c r="C113" s="1" t="s">
        <v>254</v>
      </c>
      <c r="D113" s="1" t="s">
        <v>18</v>
      </c>
      <c r="E113" s="3">
        <v>20.0</v>
      </c>
      <c r="F113" s="1"/>
      <c r="G113" s="1"/>
    </row>
    <row r="114">
      <c r="B114" s="1" t="s">
        <v>337</v>
      </c>
      <c r="C114" s="1" t="s">
        <v>338</v>
      </c>
      <c r="D114" s="1" t="s">
        <v>18</v>
      </c>
      <c r="E114" s="3">
        <v>19.0</v>
      </c>
      <c r="F114" s="1"/>
      <c r="G114" s="1"/>
    </row>
    <row r="115">
      <c r="B115" s="1" t="s">
        <v>340</v>
      </c>
      <c r="C115" s="1" t="s">
        <v>243</v>
      </c>
      <c r="D115" s="1" t="s">
        <v>18</v>
      </c>
      <c r="E115" s="3">
        <v>19.0</v>
      </c>
      <c r="F115" s="1"/>
      <c r="G115" s="1"/>
    </row>
    <row r="116">
      <c r="B116" s="1" t="s">
        <v>341</v>
      </c>
      <c r="C116" s="1" t="s">
        <v>342</v>
      </c>
      <c r="D116" s="1" t="s">
        <v>18</v>
      </c>
      <c r="E116" s="3">
        <v>19.0</v>
      </c>
      <c r="F116" s="1"/>
      <c r="G116" s="1"/>
    </row>
    <row r="117">
      <c r="B117" s="1" t="s">
        <v>343</v>
      </c>
      <c r="C117" s="1" t="s">
        <v>344</v>
      </c>
      <c r="D117" s="1" t="s">
        <v>18</v>
      </c>
      <c r="E117" s="3" t="s">
        <v>345</v>
      </c>
      <c r="F117" s="1" t="s">
        <v>346</v>
      </c>
    </row>
    <row r="118">
      <c r="B118" s="1" t="s">
        <v>347</v>
      </c>
      <c r="C118" s="1" t="s">
        <v>344</v>
      </c>
      <c r="D118" s="1" t="s">
        <v>18</v>
      </c>
      <c r="E118" s="3" t="s">
        <v>345</v>
      </c>
      <c r="F118" s="1" t="s">
        <v>346</v>
      </c>
    </row>
    <row r="119">
      <c r="B119" s="1" t="s">
        <v>349</v>
      </c>
      <c r="C119" s="1" t="s">
        <v>344</v>
      </c>
      <c r="E119" s="3" t="s">
        <v>345</v>
      </c>
      <c r="F119" s="1" t="s">
        <v>346</v>
      </c>
    </row>
    <row r="120">
      <c r="B120" s="1" t="s">
        <v>350</v>
      </c>
      <c r="C120" s="1" t="s">
        <v>344</v>
      </c>
      <c r="E120" s="3" t="s">
        <v>345</v>
      </c>
      <c r="F120" s="1" t="s">
        <v>346</v>
      </c>
    </row>
    <row r="121">
      <c r="B121" s="1" t="s">
        <v>351</v>
      </c>
      <c r="C121" s="1" t="s">
        <v>344</v>
      </c>
      <c r="E121" s="3" t="s">
        <v>345</v>
      </c>
      <c r="F121" s="1" t="s">
        <v>346</v>
      </c>
    </row>
    <row r="122">
      <c r="B122" s="1" t="s">
        <v>352</v>
      </c>
      <c r="C122" s="1" t="s">
        <v>245</v>
      </c>
      <c r="E122" s="3">
        <v>18.0</v>
      </c>
      <c r="F122" s="1" t="s">
        <v>346</v>
      </c>
    </row>
    <row r="123">
      <c r="B123" s="1" t="s">
        <v>126</v>
      </c>
      <c r="C123" s="1" t="s">
        <v>243</v>
      </c>
      <c r="E123" s="3">
        <v>18.0</v>
      </c>
      <c r="F123" s="1" t="s">
        <v>346</v>
      </c>
    </row>
    <row r="124">
      <c r="B124" s="1" t="s">
        <v>353</v>
      </c>
      <c r="C124" s="1" t="s">
        <v>249</v>
      </c>
      <c r="E124" s="3">
        <v>18.0</v>
      </c>
      <c r="F124" s="1" t="s">
        <v>346</v>
      </c>
    </row>
    <row r="125">
      <c r="B125" s="1" t="s">
        <v>354</v>
      </c>
      <c r="C125" s="1" t="s">
        <v>355</v>
      </c>
      <c r="E125" s="3">
        <v>18.0</v>
      </c>
      <c r="F125" s="1" t="s">
        <v>356</v>
      </c>
    </row>
    <row r="126">
      <c r="B126" s="1" t="s">
        <v>357</v>
      </c>
      <c r="C126" s="1" t="s">
        <v>338</v>
      </c>
      <c r="D126" s="1" t="s">
        <v>18</v>
      </c>
      <c r="E126" s="3">
        <v>17.0</v>
      </c>
      <c r="F126" s="1" t="s">
        <v>346</v>
      </c>
    </row>
    <row r="127">
      <c r="B127" s="1" t="s">
        <v>358</v>
      </c>
      <c r="C127" s="1" t="s">
        <v>247</v>
      </c>
      <c r="E127" s="3">
        <v>17.0</v>
      </c>
      <c r="F127" s="1" t="s">
        <v>346</v>
      </c>
    </row>
    <row r="128">
      <c r="B128" s="1" t="s">
        <v>360</v>
      </c>
      <c r="C128" s="1" t="s">
        <v>254</v>
      </c>
      <c r="D128" s="1" t="s">
        <v>18</v>
      </c>
      <c r="E128" s="3">
        <v>17.0</v>
      </c>
      <c r="F128" s="1" t="s">
        <v>346</v>
      </c>
    </row>
    <row r="129">
      <c r="B129" s="1" t="s">
        <v>361</v>
      </c>
      <c r="C129" s="1" t="s">
        <v>355</v>
      </c>
      <c r="E129" s="3">
        <v>17.0</v>
      </c>
      <c r="F129" s="1" t="s">
        <v>356</v>
      </c>
    </row>
    <row r="130">
      <c r="B130" s="1" t="s">
        <v>362</v>
      </c>
      <c r="C130" s="1" t="s">
        <v>255</v>
      </c>
      <c r="E130" s="3">
        <v>16.0</v>
      </c>
      <c r="F130" s="1" t="s">
        <v>346</v>
      </c>
    </row>
    <row r="131">
      <c r="B131" s="1" t="s">
        <v>363</v>
      </c>
      <c r="C131" s="1" t="s">
        <v>253</v>
      </c>
      <c r="D131" s="1" t="s">
        <v>18</v>
      </c>
      <c r="E131" s="3">
        <v>16.0</v>
      </c>
      <c r="F131" s="1" t="s">
        <v>346</v>
      </c>
    </row>
    <row r="132">
      <c r="B132" s="1" t="s">
        <v>366</v>
      </c>
      <c r="C132" s="1" t="s">
        <v>243</v>
      </c>
      <c r="D132" s="1" t="s">
        <v>18</v>
      </c>
      <c r="E132" s="3">
        <v>16.0</v>
      </c>
      <c r="F132" s="1" t="s">
        <v>346</v>
      </c>
    </row>
    <row r="133">
      <c r="B133" s="1" t="s">
        <v>367</v>
      </c>
      <c r="C133" s="1" t="s">
        <v>355</v>
      </c>
      <c r="E133" s="3">
        <v>16.0</v>
      </c>
      <c r="F133" s="1" t="s">
        <v>356</v>
      </c>
    </row>
    <row r="134">
      <c r="B134" s="1" t="s">
        <v>368</v>
      </c>
      <c r="C134" s="1" t="s">
        <v>247</v>
      </c>
      <c r="E134" s="3">
        <v>15.0</v>
      </c>
      <c r="F134" s="1" t="s">
        <v>346</v>
      </c>
    </row>
    <row r="135">
      <c r="B135" s="1" t="s">
        <v>370</v>
      </c>
      <c r="C135" s="1" t="s">
        <v>243</v>
      </c>
      <c r="E135" s="3">
        <v>15.0</v>
      </c>
      <c r="F135" s="1" t="s">
        <v>356</v>
      </c>
    </row>
    <row r="136">
      <c r="B136" s="1" t="s">
        <v>371</v>
      </c>
      <c r="C136" s="1" t="s">
        <v>245</v>
      </c>
      <c r="E136" s="3">
        <v>15.0</v>
      </c>
      <c r="F136" s="1" t="s">
        <v>346</v>
      </c>
    </row>
    <row r="137">
      <c r="B137" s="1" t="s">
        <v>372</v>
      </c>
      <c r="C137" s="1" t="s">
        <v>254</v>
      </c>
      <c r="D137" s="1" t="s">
        <v>18</v>
      </c>
      <c r="E137" s="3">
        <v>15.0</v>
      </c>
      <c r="F137" s="1" t="s">
        <v>356</v>
      </c>
    </row>
    <row r="138">
      <c r="B138" s="1" t="s">
        <v>373</v>
      </c>
      <c r="C138" s="1" t="s">
        <v>247</v>
      </c>
      <c r="E138" s="3">
        <v>14.0</v>
      </c>
      <c r="F138" s="1" t="s">
        <v>346</v>
      </c>
    </row>
    <row r="139">
      <c r="B139" s="1" t="s">
        <v>374</v>
      </c>
      <c r="C139" s="1" t="s">
        <v>338</v>
      </c>
      <c r="E139" s="3">
        <v>14.0</v>
      </c>
      <c r="F139" s="1" t="s">
        <v>346</v>
      </c>
    </row>
    <row r="140">
      <c r="B140" s="1" t="s">
        <v>375</v>
      </c>
      <c r="C140" s="1" t="s">
        <v>249</v>
      </c>
      <c r="E140" s="3">
        <v>14.0</v>
      </c>
      <c r="F140" s="1" t="s">
        <v>346</v>
      </c>
    </row>
    <row r="141">
      <c r="B141" s="1" t="s">
        <v>376</v>
      </c>
      <c r="C141" s="1" t="s">
        <v>255</v>
      </c>
      <c r="E141" s="3">
        <v>14.0</v>
      </c>
      <c r="F141" s="1" t="s">
        <v>346</v>
      </c>
    </row>
    <row r="142">
      <c r="B142" s="1" t="s">
        <v>377</v>
      </c>
      <c r="C142" s="1" t="s">
        <v>243</v>
      </c>
      <c r="D142" s="1" t="s">
        <v>18</v>
      </c>
      <c r="E142" s="3">
        <v>12.0</v>
      </c>
      <c r="F142" s="1" t="s">
        <v>346</v>
      </c>
    </row>
    <row r="143">
      <c r="B143" s="1" t="s">
        <v>378</v>
      </c>
      <c r="C143" s="1" t="s">
        <v>245</v>
      </c>
      <c r="E143" s="3">
        <v>12.0</v>
      </c>
      <c r="F143" s="1" t="s">
        <v>356</v>
      </c>
    </row>
    <row r="144">
      <c r="B144" s="1" t="s">
        <v>379</v>
      </c>
      <c r="C144" s="1" t="s">
        <v>338</v>
      </c>
      <c r="E144" s="3">
        <v>12.0</v>
      </c>
      <c r="F144" s="1" t="s">
        <v>346</v>
      </c>
    </row>
    <row r="145">
      <c r="B145" s="1" t="s">
        <v>380</v>
      </c>
      <c r="C145" s="1" t="s">
        <v>245</v>
      </c>
      <c r="D145" s="1" t="s">
        <v>18</v>
      </c>
      <c r="E145" s="3">
        <v>12.0</v>
      </c>
      <c r="F145" s="1" t="s">
        <v>356</v>
      </c>
    </row>
    <row r="146">
      <c r="B146" s="1" t="s">
        <v>381</v>
      </c>
      <c r="C146" s="47" t="s">
        <v>382</v>
      </c>
      <c r="E146" s="3">
        <v>11.0</v>
      </c>
      <c r="F146" s="1" t="s">
        <v>346</v>
      </c>
    </row>
    <row r="147">
      <c r="B147" s="1" t="s">
        <v>385</v>
      </c>
      <c r="C147" s="47" t="s">
        <v>386</v>
      </c>
      <c r="E147" s="3">
        <v>11.0</v>
      </c>
      <c r="F147" s="1" t="s">
        <v>356</v>
      </c>
    </row>
    <row r="148">
      <c r="B148" s="1" t="s">
        <v>387</v>
      </c>
      <c r="C148" s="47" t="s">
        <v>388</v>
      </c>
      <c r="E148" s="3">
        <v>11.0</v>
      </c>
      <c r="F148" s="1" t="s">
        <v>346</v>
      </c>
    </row>
    <row r="149">
      <c r="B149" s="1" t="s">
        <v>389</v>
      </c>
      <c r="C149" s="47" t="s">
        <v>390</v>
      </c>
      <c r="E149" s="3">
        <v>11.0</v>
      </c>
      <c r="F149" s="1" t="s">
        <v>356</v>
      </c>
    </row>
    <row r="150">
      <c r="B150" s="1" t="s">
        <v>391</v>
      </c>
      <c r="C150" s="1" t="s">
        <v>258</v>
      </c>
      <c r="E150" s="3">
        <v>10.0</v>
      </c>
      <c r="F150" s="1" t="s">
        <v>346</v>
      </c>
    </row>
    <row r="151">
      <c r="B151" s="1" t="s">
        <v>392</v>
      </c>
      <c r="C151" s="1" t="s">
        <v>243</v>
      </c>
      <c r="D151" s="1" t="s">
        <v>18</v>
      </c>
      <c r="E151" s="3">
        <v>10.0</v>
      </c>
      <c r="F151" s="1" t="s">
        <v>346</v>
      </c>
    </row>
    <row r="152">
      <c r="B152" s="1" t="s">
        <v>393</v>
      </c>
      <c r="C152" s="1" t="s">
        <v>256</v>
      </c>
      <c r="E152" s="3">
        <v>10.0</v>
      </c>
      <c r="F152" s="1" t="s">
        <v>356</v>
      </c>
    </row>
    <row r="153">
      <c r="B153" s="1" t="s">
        <v>394</v>
      </c>
      <c r="C153" s="1" t="s">
        <v>249</v>
      </c>
      <c r="E153" s="3">
        <v>10.0</v>
      </c>
      <c r="F153" s="1" t="s">
        <v>356</v>
      </c>
    </row>
    <row r="154">
      <c r="B154" s="1" t="s">
        <v>395</v>
      </c>
      <c r="C154" s="1" t="s">
        <v>258</v>
      </c>
      <c r="E154" s="3">
        <v>9.0</v>
      </c>
      <c r="F154" s="1" t="s">
        <v>346</v>
      </c>
    </row>
    <row r="155">
      <c r="B155" s="1" t="s">
        <v>396</v>
      </c>
      <c r="C155" s="1" t="s">
        <v>255</v>
      </c>
      <c r="E155" s="3">
        <v>9.0</v>
      </c>
      <c r="F155" s="1" t="s">
        <v>346</v>
      </c>
    </row>
    <row r="156">
      <c r="B156" s="1" t="s">
        <v>397</v>
      </c>
      <c r="C156" s="1" t="s">
        <v>249</v>
      </c>
      <c r="E156" s="3">
        <v>9.0</v>
      </c>
      <c r="F156" s="1" t="s">
        <v>356</v>
      </c>
    </row>
    <row r="157">
      <c r="B157" s="1" t="s">
        <v>398</v>
      </c>
      <c r="C157" s="47" t="s">
        <v>390</v>
      </c>
      <c r="E157" s="3">
        <v>9.0</v>
      </c>
      <c r="F157" s="1" t="s">
        <v>356</v>
      </c>
    </row>
    <row r="158">
      <c r="B158" s="1" t="s">
        <v>399</v>
      </c>
      <c r="C158" s="1" t="s">
        <v>338</v>
      </c>
      <c r="E158" s="3">
        <v>7.0</v>
      </c>
      <c r="F158" s="1" t="s">
        <v>346</v>
      </c>
    </row>
    <row r="159">
      <c r="B159" s="1" t="s">
        <v>400</v>
      </c>
      <c r="C159" s="1" t="s">
        <v>256</v>
      </c>
      <c r="E159" s="3">
        <v>7.0</v>
      </c>
      <c r="F159" s="1" t="s">
        <v>356</v>
      </c>
    </row>
    <row r="160">
      <c r="B160" s="1" t="s">
        <v>401</v>
      </c>
      <c r="C160" s="1" t="s">
        <v>243</v>
      </c>
      <c r="D160" s="1" t="s">
        <v>18</v>
      </c>
      <c r="E160" s="3">
        <v>7.0</v>
      </c>
      <c r="F160" s="1" t="s">
        <v>346</v>
      </c>
    </row>
    <row r="161">
      <c r="B161" s="1" t="s">
        <v>403</v>
      </c>
      <c r="C161" s="47" t="s">
        <v>404</v>
      </c>
      <c r="E161" s="3">
        <v>7.0</v>
      </c>
      <c r="F161" s="1" t="s">
        <v>346</v>
      </c>
    </row>
    <row r="162">
      <c r="B162" s="1" t="s">
        <v>405</v>
      </c>
      <c r="C162" s="1" t="s">
        <v>249</v>
      </c>
      <c r="E162" s="3">
        <v>6.0</v>
      </c>
      <c r="F162" s="1" t="s">
        <v>346</v>
      </c>
    </row>
    <row r="163">
      <c r="B163" s="1" t="s">
        <v>406</v>
      </c>
      <c r="C163" s="1" t="s">
        <v>247</v>
      </c>
      <c r="D163" s="1" t="s">
        <v>18</v>
      </c>
      <c r="E163" s="3">
        <v>6.0</v>
      </c>
      <c r="F163" s="1" t="s">
        <v>356</v>
      </c>
    </row>
    <row r="164">
      <c r="B164" s="1" t="s">
        <v>408</v>
      </c>
      <c r="C164" s="1" t="s">
        <v>245</v>
      </c>
      <c r="E164" s="3">
        <v>6.0</v>
      </c>
      <c r="F164" s="1" t="s">
        <v>346</v>
      </c>
    </row>
    <row r="165">
      <c r="B165" s="1" t="s">
        <v>411</v>
      </c>
      <c r="C165" s="1" t="s">
        <v>249</v>
      </c>
      <c r="D165" s="1" t="s">
        <v>18</v>
      </c>
      <c r="E165" s="3">
        <v>5.0</v>
      </c>
      <c r="F165" s="1" t="s">
        <v>346</v>
      </c>
    </row>
    <row r="166">
      <c r="B166" s="1" t="s">
        <v>412</v>
      </c>
      <c r="C166" s="1" t="s">
        <v>255</v>
      </c>
      <c r="E166" s="3">
        <v>5.0</v>
      </c>
      <c r="F166" s="1" t="s">
        <v>356</v>
      </c>
    </row>
    <row r="167">
      <c r="B167" s="1" t="s">
        <v>413</v>
      </c>
      <c r="C167" s="1" t="s">
        <v>247</v>
      </c>
      <c r="E167" s="3">
        <v>5.0</v>
      </c>
      <c r="F167" s="1" t="s">
        <v>346</v>
      </c>
    </row>
    <row r="168">
      <c r="B168" s="1" t="s">
        <v>415</v>
      </c>
      <c r="C168" s="1" t="s">
        <v>245</v>
      </c>
      <c r="E168" s="3">
        <v>4.0</v>
      </c>
      <c r="F168" s="1" t="s">
        <v>346</v>
      </c>
    </row>
    <row r="169">
      <c r="B169" s="1" t="s">
        <v>416</v>
      </c>
      <c r="C169" s="1" t="s">
        <v>254</v>
      </c>
      <c r="D169" s="1" t="s">
        <v>18</v>
      </c>
      <c r="E169" s="3">
        <v>4.0</v>
      </c>
      <c r="F169" s="1" t="s">
        <v>346</v>
      </c>
    </row>
    <row r="170">
      <c r="B170" s="1" t="s">
        <v>418</v>
      </c>
      <c r="C170" s="1" t="s">
        <v>338</v>
      </c>
      <c r="E170" s="3">
        <v>4.0</v>
      </c>
      <c r="F170" s="1" t="s">
        <v>346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5" width="20.75"/>
    <col customWidth="1" min="6" max="6" width="15.75"/>
    <col customWidth="1" min="7" max="7" width="19.38"/>
    <col customWidth="1" min="8" max="8" width="15.5"/>
  </cols>
  <sheetData>
    <row r="2" ht="22.5" customHeight="1">
      <c r="B2" s="11" t="s">
        <v>71</v>
      </c>
      <c r="C2" s="11" t="s">
        <v>76</v>
      </c>
      <c r="D2" s="11" t="s">
        <v>79</v>
      </c>
      <c r="E2" s="11" t="s">
        <v>83</v>
      </c>
      <c r="F2" s="11" t="s">
        <v>87</v>
      </c>
      <c r="G2" s="11" t="s">
        <v>14</v>
      </c>
      <c r="H2" s="11" t="s">
        <v>91</v>
      </c>
    </row>
    <row r="3" ht="22.5" customHeight="1">
      <c r="B3" s="15" t="s">
        <v>99</v>
      </c>
      <c r="C3" s="16">
        <v>83305.0</v>
      </c>
      <c r="D3" s="16">
        <v>0.0</v>
      </c>
      <c r="E3" s="16">
        <v>149310.0</v>
      </c>
      <c r="F3" s="19">
        <f t="shared" ref="F3:F12" si="1">D3+E3</f>
        <v>149310</v>
      </c>
      <c r="G3" s="19">
        <f t="shared" ref="G3:G12" si="2">F3-C3</f>
        <v>66005</v>
      </c>
      <c r="H3" s="27">
        <f t="shared" ref="H3:H11" si="3">C3/(IF(D3&gt;0, D3, E3))</f>
        <v>0.5579331592</v>
      </c>
    </row>
    <row r="4" ht="22.5" customHeight="1">
      <c r="B4" s="15" t="s">
        <v>139</v>
      </c>
      <c r="C4" s="16">
        <v>120641.0</v>
      </c>
      <c r="D4" s="16">
        <v>0.0</v>
      </c>
      <c r="E4" s="16">
        <v>171430.0</v>
      </c>
      <c r="F4" s="19">
        <f t="shared" si="1"/>
        <v>171430</v>
      </c>
      <c r="G4" s="19">
        <f t="shared" si="2"/>
        <v>50789</v>
      </c>
      <c r="H4" s="27">
        <f t="shared" si="3"/>
        <v>0.7037333022</v>
      </c>
    </row>
    <row r="5" ht="22.5" customHeight="1">
      <c r="B5" s="15" t="s">
        <v>159</v>
      </c>
      <c r="C5" s="16">
        <v>116300.0</v>
      </c>
      <c r="D5" s="16">
        <v>0.0</v>
      </c>
      <c r="E5" s="16">
        <v>218830.0</v>
      </c>
      <c r="F5" s="19">
        <f t="shared" si="1"/>
        <v>218830</v>
      </c>
      <c r="G5" s="19">
        <f t="shared" si="2"/>
        <v>102530</v>
      </c>
      <c r="H5" s="27">
        <f t="shared" si="3"/>
        <v>0.5314627793</v>
      </c>
    </row>
    <row r="6" ht="22.5" customHeight="1">
      <c r="B6" s="15" t="s">
        <v>170</v>
      </c>
      <c r="C6" s="16">
        <v>87916.0</v>
      </c>
      <c r="D6" s="16">
        <v>0.0</v>
      </c>
      <c r="E6" s="16">
        <v>206190.0</v>
      </c>
      <c r="F6" s="19">
        <f t="shared" si="1"/>
        <v>206190</v>
      </c>
      <c r="G6" s="19">
        <f t="shared" si="2"/>
        <v>118274</v>
      </c>
      <c r="H6" s="27">
        <f t="shared" si="3"/>
        <v>0.4263834328</v>
      </c>
    </row>
    <row r="7" ht="22.5" customHeight="1">
      <c r="B7" s="15" t="s">
        <v>178</v>
      </c>
      <c r="C7" s="16">
        <v>94519.0</v>
      </c>
      <c r="D7" s="16">
        <v>0.0</v>
      </c>
      <c r="E7" s="16">
        <v>188400.0</v>
      </c>
      <c r="F7" s="19">
        <f t="shared" si="1"/>
        <v>188400</v>
      </c>
      <c r="G7" s="19">
        <f t="shared" si="2"/>
        <v>93881</v>
      </c>
      <c r="H7" s="27">
        <f t="shared" si="3"/>
        <v>0.5016932059</v>
      </c>
    </row>
    <row r="8" ht="22.5" customHeight="1">
      <c r="B8" s="15" t="s">
        <v>188</v>
      </c>
      <c r="C8" s="16">
        <v>117964.0</v>
      </c>
      <c r="D8" s="16">
        <v>0.0</v>
      </c>
      <c r="E8" s="16">
        <v>156900.0</v>
      </c>
      <c r="F8" s="19">
        <f t="shared" si="1"/>
        <v>156900</v>
      </c>
      <c r="G8" s="19">
        <f t="shared" si="2"/>
        <v>38936</v>
      </c>
      <c r="H8" s="27">
        <f t="shared" si="3"/>
        <v>0.7518419375</v>
      </c>
    </row>
    <row r="9" ht="22.5" customHeight="1">
      <c r="B9" s="15" t="s">
        <v>195</v>
      </c>
      <c r="C9" s="16">
        <v>74376.0</v>
      </c>
      <c r="D9" s="16">
        <v>0.0</v>
      </c>
      <c r="E9" s="16">
        <v>138502.0</v>
      </c>
      <c r="F9" s="19">
        <f t="shared" si="1"/>
        <v>138502</v>
      </c>
      <c r="G9" s="19">
        <f t="shared" si="2"/>
        <v>64126</v>
      </c>
      <c r="H9" s="27">
        <f t="shared" si="3"/>
        <v>0.5370030758</v>
      </c>
    </row>
    <row r="10" ht="22.5" customHeight="1">
      <c r="B10" s="15" t="s">
        <v>201</v>
      </c>
      <c r="C10" s="16">
        <v>134027.0</v>
      </c>
      <c r="D10" s="16">
        <v>0.0</v>
      </c>
      <c r="E10" s="16">
        <v>173445.0</v>
      </c>
      <c r="F10" s="19">
        <f t="shared" si="1"/>
        <v>173445</v>
      </c>
      <c r="G10" s="19">
        <f t="shared" si="2"/>
        <v>39418</v>
      </c>
      <c r="H10" s="27">
        <f t="shared" si="3"/>
        <v>0.7727348727</v>
      </c>
    </row>
    <row r="11" ht="22.5" customHeight="1">
      <c r="B11" s="15" t="s">
        <v>206</v>
      </c>
      <c r="C11" s="16">
        <v>172270.0</v>
      </c>
      <c r="D11" s="16">
        <v>0.0</v>
      </c>
      <c r="E11" s="16">
        <v>195207.0</v>
      </c>
      <c r="F11" s="19">
        <f t="shared" si="1"/>
        <v>195207</v>
      </c>
      <c r="G11" s="19">
        <f t="shared" si="2"/>
        <v>22937</v>
      </c>
      <c r="H11" s="27">
        <f t="shared" si="3"/>
        <v>0.8824990907</v>
      </c>
    </row>
    <row r="12" ht="22.5" customHeight="1">
      <c r="B12" s="36" t="s">
        <v>211</v>
      </c>
      <c r="C12" s="19">
        <f t="shared" ref="C12:E12" si="4">SUM(C3:C11)</f>
        <v>1001318</v>
      </c>
      <c r="D12" s="19">
        <f t="shared" si="4"/>
        <v>0</v>
      </c>
      <c r="E12" s="19">
        <f t="shared" si="4"/>
        <v>1598214</v>
      </c>
      <c r="F12" s="19">
        <f t="shared" si="1"/>
        <v>1598214</v>
      </c>
      <c r="G12" s="19">
        <f t="shared" si="2"/>
        <v>596896</v>
      </c>
      <c r="H12" s="27">
        <f>C12/F12</f>
        <v>0.6265231064</v>
      </c>
    </row>
  </sheetData>
  <dataValidations>
    <dataValidation type="custom" allowBlank="1" showDropDown="1" sqref="C3:H12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63"/>
    <col customWidth="1" min="4" max="4" width="18.75"/>
    <col customWidth="1" min="5" max="5" width="14.88"/>
    <col customWidth="1" min="6" max="6" width="18.75"/>
    <col customWidth="1" min="7" max="7" width="14.88"/>
    <col customWidth="1" min="8" max="8" width="14.63"/>
    <col customWidth="1" min="9" max="9" width="15.38"/>
    <col customWidth="1" min="10" max="10" width="18.75"/>
    <col customWidth="1" min="12" max="12" width="13.13"/>
  </cols>
  <sheetData>
    <row r="2">
      <c r="B2" s="1" t="s">
        <v>11</v>
      </c>
    </row>
    <row r="4">
      <c r="B4" s="1" t="s">
        <v>3</v>
      </c>
      <c r="C4" s="2" t="s">
        <v>15</v>
      </c>
      <c r="D4" s="4" t="s">
        <v>21</v>
      </c>
      <c r="E4" s="5" t="s">
        <v>23</v>
      </c>
      <c r="F4" s="6" t="s">
        <v>25</v>
      </c>
      <c r="G4" s="6" t="s">
        <v>27</v>
      </c>
      <c r="H4" s="8" t="s">
        <v>28</v>
      </c>
      <c r="J4" s="1" t="s">
        <v>30</v>
      </c>
    </row>
    <row r="5">
      <c r="B5" s="1" t="s">
        <v>31</v>
      </c>
      <c r="C5" s="2" t="s">
        <v>15</v>
      </c>
      <c r="D5" s="4" t="s">
        <v>32</v>
      </c>
      <c r="E5" s="5" t="s">
        <v>33</v>
      </c>
      <c r="F5" s="6" t="s">
        <v>25</v>
      </c>
      <c r="G5" s="6" t="s">
        <v>34</v>
      </c>
      <c r="H5" s="8" t="s">
        <v>35</v>
      </c>
      <c r="J5" s="1" t="s">
        <v>36</v>
      </c>
    </row>
    <row r="6">
      <c r="B6" s="1" t="s">
        <v>6</v>
      </c>
      <c r="C6" s="2" t="s">
        <v>15</v>
      </c>
      <c r="D6" s="4" t="s">
        <v>40</v>
      </c>
      <c r="E6" s="5" t="s">
        <v>41</v>
      </c>
      <c r="F6" s="6" t="s">
        <v>25</v>
      </c>
      <c r="G6" s="6" t="s">
        <v>42</v>
      </c>
      <c r="H6" s="8" t="s">
        <v>43</v>
      </c>
      <c r="J6" s="1" t="s">
        <v>44</v>
      </c>
    </row>
    <row r="7">
      <c r="B7" s="1" t="s">
        <v>7</v>
      </c>
      <c r="C7" s="2" t="s">
        <v>15</v>
      </c>
      <c r="D7" s="4" t="s">
        <v>46</v>
      </c>
      <c r="E7" s="5" t="s">
        <v>47</v>
      </c>
      <c r="F7" s="6" t="s">
        <v>25</v>
      </c>
      <c r="G7" s="6" t="s">
        <v>48</v>
      </c>
      <c r="H7" s="8" t="s">
        <v>50</v>
      </c>
      <c r="J7" s="1" t="s">
        <v>51</v>
      </c>
    </row>
    <row r="8">
      <c r="B8" s="1" t="s">
        <v>52</v>
      </c>
      <c r="C8" s="2" t="s">
        <v>15</v>
      </c>
      <c r="D8" s="4" t="s">
        <v>54</v>
      </c>
      <c r="E8" s="5" t="s">
        <v>55</v>
      </c>
      <c r="F8" s="6" t="s">
        <v>25</v>
      </c>
      <c r="G8" s="6" t="s">
        <v>56</v>
      </c>
      <c r="H8" s="8" t="s">
        <v>57</v>
      </c>
      <c r="J8" s="1" t="s">
        <v>58</v>
      </c>
    </row>
    <row r="11">
      <c r="B11" s="1" t="s">
        <v>60</v>
      </c>
    </row>
    <row r="12">
      <c r="B12" s="1"/>
    </row>
    <row r="13">
      <c r="B13" s="1" t="s">
        <v>3</v>
      </c>
      <c r="C13" s="2" t="s">
        <v>15</v>
      </c>
      <c r="D13" s="4" t="s">
        <v>62</v>
      </c>
      <c r="E13" s="5" t="s">
        <v>25</v>
      </c>
      <c r="F13" s="6" t="s">
        <v>63</v>
      </c>
      <c r="G13" s="8" t="s">
        <v>64</v>
      </c>
      <c r="H13" s="8" t="s">
        <v>65</v>
      </c>
      <c r="J13" s="1" t="s">
        <v>66</v>
      </c>
    </row>
    <row r="14">
      <c r="B14" s="1" t="s">
        <v>31</v>
      </c>
      <c r="C14" s="2" t="s">
        <v>15</v>
      </c>
      <c r="D14" s="4" t="s">
        <v>67</v>
      </c>
      <c r="E14" s="5" t="s">
        <v>25</v>
      </c>
      <c r="F14" s="6" t="s">
        <v>32</v>
      </c>
      <c r="G14" s="8" t="s">
        <v>68</v>
      </c>
      <c r="H14" s="8" t="s">
        <v>65</v>
      </c>
      <c r="J14" s="1" t="s">
        <v>69</v>
      </c>
    </row>
    <row r="15">
      <c r="B15" s="1" t="s">
        <v>6</v>
      </c>
      <c r="C15" s="2" t="s">
        <v>15</v>
      </c>
      <c r="D15" s="4" t="s">
        <v>43</v>
      </c>
      <c r="E15" s="5" t="s">
        <v>25</v>
      </c>
      <c r="F15" s="6" t="s">
        <v>41</v>
      </c>
      <c r="G15" s="8" t="s">
        <v>42</v>
      </c>
      <c r="H15" s="8" t="s">
        <v>65</v>
      </c>
      <c r="J15" s="1" t="s">
        <v>70</v>
      </c>
    </row>
    <row r="16">
      <c r="B16" s="1" t="s">
        <v>7</v>
      </c>
      <c r="C16" s="2" t="s">
        <v>15</v>
      </c>
      <c r="D16" s="4" t="s">
        <v>72</v>
      </c>
      <c r="E16" s="5" t="s">
        <v>25</v>
      </c>
      <c r="F16" s="6" t="s">
        <v>46</v>
      </c>
      <c r="G16" s="8" t="s">
        <v>48</v>
      </c>
      <c r="H16" s="8" t="s">
        <v>47</v>
      </c>
      <c r="J16" s="1" t="s">
        <v>73</v>
      </c>
    </row>
    <row r="17">
      <c r="B17" s="1" t="s">
        <v>52</v>
      </c>
      <c r="C17" s="2" t="s">
        <v>15</v>
      </c>
      <c r="D17" s="4" t="s">
        <v>55</v>
      </c>
      <c r="E17" s="5" t="s">
        <v>25</v>
      </c>
      <c r="F17" s="6" t="s">
        <v>57</v>
      </c>
      <c r="G17" s="8" t="s">
        <v>56</v>
      </c>
      <c r="H17" s="8" t="s">
        <v>65</v>
      </c>
      <c r="J17" s="1" t="s">
        <v>74</v>
      </c>
    </row>
    <row r="20">
      <c r="B20" s="1" t="s">
        <v>75</v>
      </c>
    </row>
    <row r="22">
      <c r="B22" s="1" t="s">
        <v>3</v>
      </c>
      <c r="C22" s="2" t="s">
        <v>15</v>
      </c>
      <c r="D22" s="4" t="s">
        <v>62</v>
      </c>
      <c r="E22" s="4" t="s">
        <v>25</v>
      </c>
      <c r="F22" s="5" t="s">
        <v>64</v>
      </c>
      <c r="G22" s="6" t="s">
        <v>63</v>
      </c>
      <c r="H22" s="8" t="s">
        <v>28</v>
      </c>
      <c r="J22" s="1" t="s">
        <v>78</v>
      </c>
    </row>
    <row r="23">
      <c r="B23" s="1" t="s">
        <v>31</v>
      </c>
      <c r="C23" s="2" t="s">
        <v>15</v>
      </c>
      <c r="D23" s="4" t="s">
        <v>32</v>
      </c>
      <c r="E23" s="4" t="s">
        <v>25</v>
      </c>
      <c r="F23" s="5" t="s">
        <v>68</v>
      </c>
      <c r="G23" s="6" t="s">
        <v>33</v>
      </c>
      <c r="H23" s="8" t="s">
        <v>35</v>
      </c>
      <c r="J23" s="1" t="s">
        <v>85</v>
      </c>
    </row>
    <row r="24">
      <c r="B24" s="1" t="s">
        <v>6</v>
      </c>
      <c r="C24" s="2" t="s">
        <v>15</v>
      </c>
      <c r="D24" s="4" t="s">
        <v>43</v>
      </c>
      <c r="E24" s="4" t="s">
        <v>25</v>
      </c>
      <c r="F24" s="5" t="s">
        <v>42</v>
      </c>
      <c r="G24" s="6" t="s">
        <v>41</v>
      </c>
      <c r="H24" s="8" t="s">
        <v>40</v>
      </c>
      <c r="J24" s="1" t="s">
        <v>90</v>
      </c>
    </row>
    <row r="25">
      <c r="B25" s="1" t="s">
        <v>7</v>
      </c>
      <c r="C25" s="2" t="s">
        <v>15</v>
      </c>
      <c r="D25" s="4" t="s">
        <v>72</v>
      </c>
      <c r="E25" s="4" t="s">
        <v>25</v>
      </c>
      <c r="F25" s="5" t="s">
        <v>48</v>
      </c>
      <c r="G25" s="6" t="s">
        <v>47</v>
      </c>
      <c r="H25" s="8" t="s">
        <v>93</v>
      </c>
      <c r="J25" s="1" t="s">
        <v>94</v>
      </c>
    </row>
    <row r="26">
      <c r="B26" s="1" t="s">
        <v>52</v>
      </c>
      <c r="C26" s="2" t="s">
        <v>15</v>
      </c>
      <c r="D26" s="4" t="s">
        <v>57</v>
      </c>
      <c r="E26" s="4" t="s">
        <v>25</v>
      </c>
      <c r="F26" s="5" t="s">
        <v>55</v>
      </c>
      <c r="G26" s="6" t="s">
        <v>54</v>
      </c>
      <c r="H26" s="8" t="s">
        <v>56</v>
      </c>
      <c r="J26" s="1" t="s">
        <v>101</v>
      </c>
    </row>
    <row r="29">
      <c r="B29" s="1" t="s">
        <v>104</v>
      </c>
    </row>
    <row r="31">
      <c r="B31" s="1" t="s">
        <v>3</v>
      </c>
      <c r="C31" s="2" t="s">
        <v>15</v>
      </c>
      <c r="D31" s="4" t="s">
        <v>63</v>
      </c>
      <c r="E31" s="4" t="s">
        <v>65</v>
      </c>
      <c r="F31" s="5" t="s">
        <v>27</v>
      </c>
      <c r="G31" s="6" t="s">
        <v>64</v>
      </c>
      <c r="H31" s="8" t="s">
        <v>62</v>
      </c>
      <c r="J31" s="1" t="s">
        <v>108</v>
      </c>
    </row>
    <row r="32">
      <c r="B32" s="1" t="s">
        <v>31</v>
      </c>
      <c r="C32" s="2" t="s">
        <v>15</v>
      </c>
      <c r="D32" s="4" t="s">
        <v>32</v>
      </c>
      <c r="E32" s="4" t="s">
        <v>65</v>
      </c>
      <c r="F32" s="5" t="s">
        <v>68</v>
      </c>
      <c r="G32" s="6" t="s">
        <v>112</v>
      </c>
      <c r="H32" s="8" t="s">
        <v>113</v>
      </c>
      <c r="J32" s="1" t="s">
        <v>114</v>
      </c>
    </row>
    <row r="33">
      <c r="B33" s="1" t="s">
        <v>6</v>
      </c>
      <c r="C33" s="2" t="s">
        <v>15</v>
      </c>
      <c r="D33" s="4" t="s">
        <v>41</v>
      </c>
      <c r="E33" s="4" t="s">
        <v>65</v>
      </c>
      <c r="F33" s="5" t="s">
        <v>40</v>
      </c>
      <c r="G33" s="6" t="s">
        <v>43</v>
      </c>
      <c r="H33" s="8" t="s">
        <v>42</v>
      </c>
      <c r="J33" s="1" t="s">
        <v>117</v>
      </c>
    </row>
    <row r="34">
      <c r="B34" s="1" t="s">
        <v>7</v>
      </c>
      <c r="C34" s="2" t="s">
        <v>15</v>
      </c>
      <c r="D34" s="4" t="s">
        <v>72</v>
      </c>
      <c r="E34" s="4" t="s">
        <v>65</v>
      </c>
      <c r="F34" s="5" t="s">
        <v>50</v>
      </c>
      <c r="G34" s="6" t="s">
        <v>120</v>
      </c>
      <c r="H34" s="8" t="s">
        <v>48</v>
      </c>
      <c r="J34" s="1" t="s">
        <v>121</v>
      </c>
    </row>
    <row r="35">
      <c r="B35" s="1" t="s">
        <v>52</v>
      </c>
      <c r="C35" s="2" t="s">
        <v>15</v>
      </c>
      <c r="D35" s="4" t="s">
        <v>57</v>
      </c>
      <c r="E35" s="4" t="s">
        <v>65</v>
      </c>
      <c r="F35" s="5" t="s">
        <v>123</v>
      </c>
      <c r="G35" s="6" t="s">
        <v>56</v>
      </c>
      <c r="H35" s="8" t="s">
        <v>55</v>
      </c>
      <c r="J35" s="1" t="s">
        <v>124</v>
      </c>
    </row>
    <row r="38">
      <c r="B38" s="1" t="s">
        <v>128</v>
      </c>
    </row>
    <row r="39">
      <c r="B39" s="1"/>
    </row>
    <row r="40">
      <c r="B40" s="21" t="s">
        <v>3</v>
      </c>
      <c r="C40" s="22" t="s">
        <v>15</v>
      </c>
      <c r="D40" s="23" t="s">
        <v>25</v>
      </c>
      <c r="E40" s="24" t="s">
        <v>65</v>
      </c>
      <c r="F40" s="25" t="s">
        <v>62</v>
      </c>
      <c r="G40" s="22" t="s">
        <v>63</v>
      </c>
      <c r="H40" s="26" t="s">
        <v>28</v>
      </c>
      <c r="I40" s="25" t="s">
        <v>64</v>
      </c>
      <c r="J40" s="23" t="s">
        <v>134</v>
      </c>
      <c r="K40" s="28" t="s">
        <v>27</v>
      </c>
      <c r="L40" s="23" t="s">
        <v>21</v>
      </c>
      <c r="M40" s="23" t="s">
        <v>23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B41" s="21" t="s">
        <v>31</v>
      </c>
      <c r="C41" s="22" t="s">
        <v>15</v>
      </c>
      <c r="D41" s="23" t="s">
        <v>25</v>
      </c>
      <c r="E41" s="24" t="s">
        <v>65</v>
      </c>
      <c r="F41" s="24" t="s">
        <v>32</v>
      </c>
      <c r="G41" s="28" t="s">
        <v>68</v>
      </c>
      <c r="H41" s="23" t="s">
        <v>67</v>
      </c>
      <c r="I41" s="23" t="s">
        <v>35</v>
      </c>
      <c r="J41" s="26" t="s">
        <v>33</v>
      </c>
      <c r="K41" s="26" t="s">
        <v>113</v>
      </c>
      <c r="L41" s="26" t="s">
        <v>112</v>
      </c>
      <c r="M41" s="23" t="s">
        <v>34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B42" s="21" t="s">
        <v>6</v>
      </c>
      <c r="C42" s="22" t="s">
        <v>15</v>
      </c>
      <c r="D42" s="23" t="s">
        <v>25</v>
      </c>
      <c r="E42" s="24" t="s">
        <v>65</v>
      </c>
      <c r="F42" s="28" t="s">
        <v>40</v>
      </c>
      <c r="G42" s="28" t="s">
        <v>43</v>
      </c>
      <c r="H42" s="24" t="s">
        <v>41</v>
      </c>
      <c r="I42" s="23" t="s">
        <v>141</v>
      </c>
      <c r="J42" s="23" t="s">
        <v>142</v>
      </c>
      <c r="K42" s="25" t="s">
        <v>42</v>
      </c>
      <c r="L42" s="26" t="s">
        <v>144</v>
      </c>
      <c r="M42" s="26" t="s">
        <v>145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B43" s="21" t="s">
        <v>7</v>
      </c>
      <c r="C43" s="22" t="s">
        <v>15</v>
      </c>
      <c r="D43" s="23" t="s">
        <v>25</v>
      </c>
      <c r="E43" s="24" t="s">
        <v>65</v>
      </c>
      <c r="F43" s="22" t="s">
        <v>72</v>
      </c>
      <c r="G43" s="28" t="s">
        <v>50</v>
      </c>
      <c r="H43" s="26" t="s">
        <v>48</v>
      </c>
      <c r="I43" s="23" t="s">
        <v>47</v>
      </c>
      <c r="J43" s="23" t="s">
        <v>46</v>
      </c>
      <c r="K43" s="28" t="s">
        <v>120</v>
      </c>
      <c r="L43" s="23" t="s">
        <v>147</v>
      </c>
      <c r="M43" s="23" t="s">
        <v>93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B44" s="21" t="s">
        <v>52</v>
      </c>
      <c r="C44" s="22" t="s">
        <v>15</v>
      </c>
      <c r="D44" s="23" t="s">
        <v>25</v>
      </c>
      <c r="E44" s="24" t="s">
        <v>65</v>
      </c>
      <c r="F44" s="23" t="s">
        <v>149</v>
      </c>
      <c r="G44" s="23" t="s">
        <v>150</v>
      </c>
      <c r="H44" s="22" t="s">
        <v>57</v>
      </c>
      <c r="I44" s="23" t="s">
        <v>54</v>
      </c>
      <c r="J44" s="28" t="s">
        <v>123</v>
      </c>
      <c r="K44" s="28" t="s">
        <v>56</v>
      </c>
      <c r="L44" s="26" t="s">
        <v>55</v>
      </c>
      <c r="M44" s="23" t="s">
        <v>152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55">
      <c r="B55" s="1" t="s">
        <v>154</v>
      </c>
    </row>
    <row r="56">
      <c r="B56" s="1" t="s">
        <v>155</v>
      </c>
    </row>
    <row r="57">
      <c r="B57" s="1" t="s">
        <v>157</v>
      </c>
    </row>
    <row r="59">
      <c r="B59" s="1" t="s">
        <v>158</v>
      </c>
    </row>
    <row r="60">
      <c r="B60" s="1" t="s">
        <v>160</v>
      </c>
    </row>
    <row r="61">
      <c r="B61" s="1" t="s">
        <v>163</v>
      </c>
    </row>
    <row r="62">
      <c r="B62" s="1" t="s">
        <v>165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4.75"/>
    <col customWidth="1" min="4" max="5" width="17.5"/>
    <col customWidth="1" min="6" max="7" width="23.13"/>
  </cols>
  <sheetData>
    <row r="2">
      <c r="B2" s="39" t="s">
        <v>267</v>
      </c>
      <c r="C2" s="39"/>
      <c r="D2" s="39" t="s">
        <v>268</v>
      </c>
      <c r="E2" s="39"/>
      <c r="F2" s="39" t="s">
        <v>270</v>
      </c>
      <c r="G2" s="39"/>
      <c r="H2" s="39" t="s">
        <v>273</v>
      </c>
    </row>
    <row r="3">
      <c r="B3" s="1" t="s">
        <v>275</v>
      </c>
      <c r="C3" s="1"/>
      <c r="D3" s="1" t="s">
        <v>275</v>
      </c>
      <c r="E3" s="1">
        <v>3.0</v>
      </c>
      <c r="F3" s="40" t="s">
        <v>278</v>
      </c>
      <c r="G3" s="40"/>
    </row>
    <row r="4">
      <c r="B4" s="1" t="s">
        <v>279</v>
      </c>
      <c r="C4" s="1"/>
      <c r="D4" s="1" t="s">
        <v>280</v>
      </c>
      <c r="E4" s="1">
        <v>3.0</v>
      </c>
      <c r="F4" s="1" t="s">
        <v>281</v>
      </c>
      <c r="G4" s="1"/>
    </row>
    <row r="5">
      <c r="B5" s="1" t="s">
        <v>282</v>
      </c>
      <c r="C5" s="1"/>
      <c r="D5" s="1" t="s">
        <v>283</v>
      </c>
      <c r="E5" s="1">
        <v>1.0</v>
      </c>
      <c r="F5" s="1" t="s">
        <v>284</v>
      </c>
      <c r="G5" s="1"/>
    </row>
    <row r="6">
      <c r="B6" s="1" t="s">
        <v>285</v>
      </c>
      <c r="C6" s="1"/>
      <c r="D6" s="1" t="s">
        <v>286</v>
      </c>
      <c r="E6" s="1">
        <v>1.0</v>
      </c>
      <c r="F6" s="1" t="s">
        <v>287</v>
      </c>
      <c r="G6" s="1">
        <v>1.0</v>
      </c>
    </row>
    <row r="7">
      <c r="B7" s="1" t="s">
        <v>288</v>
      </c>
      <c r="C7" s="1"/>
      <c r="D7" s="1" t="s">
        <v>289</v>
      </c>
      <c r="E7" s="1">
        <v>2.0</v>
      </c>
      <c r="F7" s="1" t="s">
        <v>290</v>
      </c>
      <c r="G7" s="1"/>
    </row>
    <row r="8">
      <c r="B8" s="1" t="s">
        <v>291</v>
      </c>
      <c r="C8" s="1"/>
      <c r="D8" s="1" t="s">
        <v>292</v>
      </c>
      <c r="E8" s="1">
        <v>2.0</v>
      </c>
      <c r="F8" s="1" t="s">
        <v>293</v>
      </c>
      <c r="G8" s="1"/>
    </row>
    <row r="9">
      <c r="B9" s="1" t="s">
        <v>294</v>
      </c>
      <c r="C9" s="1"/>
      <c r="D9" s="1" t="s">
        <v>295</v>
      </c>
      <c r="E9" s="1"/>
      <c r="F9" s="1" t="s">
        <v>296</v>
      </c>
      <c r="G9" s="1"/>
    </row>
    <row r="10">
      <c r="B10" s="1" t="s">
        <v>297</v>
      </c>
      <c r="C10" s="1"/>
      <c r="D10" s="1" t="s">
        <v>298</v>
      </c>
      <c r="E10" s="1">
        <v>1.0</v>
      </c>
      <c r="F10" s="1" t="s">
        <v>299</v>
      </c>
      <c r="G10" s="1"/>
    </row>
    <row r="11">
      <c r="B11" s="1" t="s">
        <v>300</v>
      </c>
      <c r="C11" s="1"/>
      <c r="D11" s="1" t="s">
        <v>301</v>
      </c>
      <c r="E11" s="1">
        <v>1.0</v>
      </c>
      <c r="F11" s="40" t="s">
        <v>302</v>
      </c>
      <c r="G11" s="40">
        <v>1.0</v>
      </c>
    </row>
    <row r="12">
      <c r="B12" s="1" t="s">
        <v>303</v>
      </c>
      <c r="C12" s="1"/>
      <c r="D12" s="1" t="s">
        <v>304</v>
      </c>
      <c r="E12" s="1">
        <v>1.0</v>
      </c>
      <c r="F12" s="40" t="s">
        <v>305</v>
      </c>
      <c r="G12" s="40"/>
    </row>
    <row r="13">
      <c r="B13" s="1" t="s">
        <v>306</v>
      </c>
      <c r="C13" s="1"/>
      <c r="D13" s="1" t="s">
        <v>307</v>
      </c>
      <c r="E13" s="1">
        <v>2.0</v>
      </c>
      <c r="F13" s="1" t="s">
        <v>308</v>
      </c>
      <c r="G13" s="1"/>
    </row>
    <row r="14">
      <c r="B14" s="1" t="s">
        <v>309</v>
      </c>
      <c r="C14" s="1"/>
      <c r="F14" s="40" t="s">
        <v>310</v>
      </c>
      <c r="G14" s="40"/>
    </row>
    <row r="15">
      <c r="B15" s="1" t="s">
        <v>311</v>
      </c>
      <c r="C15" s="1"/>
      <c r="F15" s="40" t="s">
        <v>312</v>
      </c>
      <c r="G15" s="40"/>
    </row>
    <row r="16">
      <c r="B16" s="1" t="s">
        <v>313</v>
      </c>
      <c r="C16" s="1"/>
    </row>
    <row r="17">
      <c r="B17" s="1" t="s">
        <v>314</v>
      </c>
      <c r="C17" s="1"/>
    </row>
    <row r="18">
      <c r="B18" s="1" t="s">
        <v>316</v>
      </c>
      <c r="C18" s="1"/>
      <c r="D18" s="1" t="s">
        <v>319</v>
      </c>
      <c r="E18" s="1" t="s">
        <v>320</v>
      </c>
    </row>
    <row r="19">
      <c r="B19" s="1" t="s">
        <v>324</v>
      </c>
      <c r="C19" s="1"/>
      <c r="D19" s="1" t="s">
        <v>327</v>
      </c>
      <c r="E19" s="1" t="s">
        <v>328</v>
      </c>
    </row>
    <row r="20">
      <c r="D20" s="1" t="s">
        <v>330</v>
      </c>
      <c r="E20" s="1" t="s">
        <v>332</v>
      </c>
    </row>
    <row r="22">
      <c r="D22" s="1" t="s">
        <v>119</v>
      </c>
      <c r="E22" s="1" t="s">
        <v>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B1" s="1"/>
      <c r="C1" s="1"/>
      <c r="D1" s="1"/>
    </row>
    <row r="2">
      <c r="C2" s="1" t="s">
        <v>211</v>
      </c>
      <c r="E2" s="1" t="s">
        <v>269</v>
      </c>
      <c r="F2" s="1" t="s">
        <v>271</v>
      </c>
      <c r="G2" s="1" t="s">
        <v>272</v>
      </c>
      <c r="H2" s="1" t="s">
        <v>274</v>
      </c>
      <c r="I2" s="1" t="s">
        <v>276</v>
      </c>
      <c r="J2" s="1" t="s">
        <v>277</v>
      </c>
    </row>
    <row r="3">
      <c r="B3" s="1"/>
      <c r="C3" s="41"/>
      <c r="E3" s="42"/>
      <c r="F3" s="42"/>
      <c r="G3" s="42"/>
      <c r="H3" s="42"/>
      <c r="I3" s="42"/>
      <c r="J3" s="42"/>
    </row>
    <row r="4">
      <c r="B4" s="1" t="s">
        <v>98</v>
      </c>
      <c r="C4" s="41">
        <f t="shared" ref="C4:C9" si="1">SUM(E4:J4)</f>
        <v>6100000</v>
      </c>
      <c r="E4" s="42">
        <v>0.0</v>
      </c>
      <c r="F4" s="42">
        <v>0.0</v>
      </c>
      <c r="G4" s="42">
        <v>0.0</v>
      </c>
      <c r="H4" s="42">
        <v>0.0</v>
      </c>
      <c r="I4" s="42">
        <v>0.0</v>
      </c>
      <c r="J4" s="43">
        <v>6100000.0</v>
      </c>
    </row>
    <row r="5">
      <c r="B5" s="1" t="s">
        <v>106</v>
      </c>
      <c r="C5" s="41">
        <f t="shared" si="1"/>
        <v>6100000</v>
      </c>
      <c r="E5" s="42">
        <v>0.0</v>
      </c>
      <c r="F5" s="42">
        <v>0.0</v>
      </c>
      <c r="G5" s="42">
        <v>0.0</v>
      </c>
      <c r="H5" s="42">
        <v>0.0</v>
      </c>
      <c r="I5" s="42">
        <v>0.0</v>
      </c>
      <c r="J5" s="43">
        <v>6100000.0</v>
      </c>
    </row>
    <row r="6">
      <c r="B6" s="1" t="s">
        <v>109</v>
      </c>
      <c r="C6" s="41">
        <f t="shared" si="1"/>
        <v>6100000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3">
        <v>6100000.0</v>
      </c>
    </row>
    <row r="7">
      <c r="B7" s="1" t="s">
        <v>118</v>
      </c>
      <c r="C7" s="41">
        <f t="shared" si="1"/>
        <v>6100000</v>
      </c>
      <c r="E7" s="42">
        <v>0.0</v>
      </c>
      <c r="F7" s="42">
        <v>0.0</v>
      </c>
      <c r="G7" s="42">
        <v>0.0</v>
      </c>
      <c r="H7" s="42">
        <v>0.0</v>
      </c>
      <c r="I7" s="42">
        <v>0.0</v>
      </c>
      <c r="J7" s="43">
        <v>6100000.0</v>
      </c>
    </row>
    <row r="8">
      <c r="B8" s="1" t="s">
        <v>127</v>
      </c>
      <c r="C8" s="41">
        <f t="shared" si="1"/>
        <v>6100000</v>
      </c>
      <c r="E8" s="42">
        <v>0.0</v>
      </c>
      <c r="F8" s="42">
        <v>0.0</v>
      </c>
      <c r="G8" s="42">
        <v>0.0</v>
      </c>
      <c r="H8" s="42">
        <v>0.0</v>
      </c>
      <c r="I8" s="42">
        <v>0.0</v>
      </c>
      <c r="J8" s="43">
        <v>6100000.0</v>
      </c>
    </row>
    <row r="9">
      <c r="B9" s="1" t="s">
        <v>131</v>
      </c>
      <c r="C9" s="41">
        <f t="shared" si="1"/>
        <v>6100000</v>
      </c>
      <c r="E9" s="42">
        <v>0.0</v>
      </c>
      <c r="F9" s="42">
        <v>0.0</v>
      </c>
      <c r="G9" s="42">
        <v>0.0</v>
      </c>
      <c r="H9" s="42">
        <v>0.0</v>
      </c>
      <c r="I9" s="42">
        <v>0.0</v>
      </c>
      <c r="J9" s="43">
        <v>6100000.0</v>
      </c>
    </row>
    <row r="10">
      <c r="C10" s="44"/>
      <c r="E10" s="45"/>
      <c r="F10" s="45"/>
      <c r="G10" s="45"/>
      <c r="H10" s="45"/>
      <c r="I10" s="45"/>
      <c r="J10" s="42"/>
    </row>
    <row r="11">
      <c r="B11" s="1" t="s">
        <v>329</v>
      </c>
      <c r="C11" s="44">
        <f t="shared" ref="C11:C18" si="2">SUM(E11:J11)</f>
        <v>6100000</v>
      </c>
      <c r="E11" s="42">
        <v>0.0</v>
      </c>
      <c r="F11" s="42">
        <v>0.0</v>
      </c>
      <c r="G11" s="42">
        <v>0.0</v>
      </c>
      <c r="H11" s="42">
        <v>0.0</v>
      </c>
      <c r="I11" s="42">
        <v>0.0</v>
      </c>
      <c r="J11" s="43">
        <v>6100000.0</v>
      </c>
    </row>
    <row r="12">
      <c r="B12" s="1" t="s">
        <v>336</v>
      </c>
      <c r="C12" s="44">
        <f t="shared" si="2"/>
        <v>6100000</v>
      </c>
      <c r="E12" s="42">
        <v>0.0</v>
      </c>
      <c r="F12" s="42">
        <v>0.0</v>
      </c>
      <c r="G12" s="42">
        <v>0.0</v>
      </c>
      <c r="H12" s="42">
        <v>0.0</v>
      </c>
      <c r="I12" s="42">
        <v>0.0</v>
      </c>
      <c r="J12" s="43">
        <v>6100000.0</v>
      </c>
    </row>
    <row r="13">
      <c r="B13" s="1" t="s">
        <v>339</v>
      </c>
      <c r="C13" s="44">
        <f t="shared" si="2"/>
        <v>6100000</v>
      </c>
      <c r="E13" s="42">
        <v>0.0</v>
      </c>
      <c r="F13" s="42">
        <v>0.0</v>
      </c>
      <c r="G13" s="42">
        <v>0.0</v>
      </c>
      <c r="H13" s="42">
        <v>0.0</v>
      </c>
      <c r="I13" s="42">
        <v>0.0</v>
      </c>
      <c r="J13" s="42">
        <v>6100000.0</v>
      </c>
    </row>
    <row r="14">
      <c r="B14" s="1" t="s">
        <v>146</v>
      </c>
      <c r="C14" s="44">
        <f t="shared" si="2"/>
        <v>6100000</v>
      </c>
      <c r="E14" s="42">
        <v>0.0</v>
      </c>
      <c r="F14" s="42">
        <v>0.0</v>
      </c>
      <c r="G14" s="42">
        <v>0.0</v>
      </c>
      <c r="H14" s="42">
        <v>0.0</v>
      </c>
      <c r="I14" s="42">
        <v>0.0</v>
      </c>
      <c r="J14" s="42">
        <v>6100000.0</v>
      </c>
    </row>
    <row r="15">
      <c r="B15" s="1" t="s">
        <v>148</v>
      </c>
      <c r="C15" s="44">
        <f t="shared" si="2"/>
        <v>6100000</v>
      </c>
      <c r="E15" s="42">
        <v>0.0</v>
      </c>
      <c r="F15" s="42">
        <v>0.0</v>
      </c>
      <c r="G15" s="42">
        <v>0.0</v>
      </c>
      <c r="H15" s="42">
        <v>0.0</v>
      </c>
      <c r="I15" s="42">
        <v>0.0</v>
      </c>
      <c r="J15" s="42">
        <v>6100000.0</v>
      </c>
    </row>
    <row r="16">
      <c r="B16" s="1" t="s">
        <v>348</v>
      </c>
      <c r="C16" s="44">
        <f t="shared" si="2"/>
        <v>6100000</v>
      </c>
      <c r="E16" s="42">
        <v>0.0</v>
      </c>
      <c r="F16" s="42">
        <v>0.0</v>
      </c>
      <c r="G16" s="42">
        <v>0.0</v>
      </c>
      <c r="H16" s="42">
        <v>0.0</v>
      </c>
      <c r="I16" s="42">
        <v>0.0</v>
      </c>
      <c r="J16" s="43">
        <v>6100000.0</v>
      </c>
    </row>
    <row r="17">
      <c r="B17" s="1" t="s">
        <v>156</v>
      </c>
      <c r="C17" s="44">
        <f t="shared" si="2"/>
        <v>6100000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6100000.0</v>
      </c>
    </row>
    <row r="18">
      <c r="B18" s="1" t="s">
        <v>162</v>
      </c>
      <c r="C18" s="44">
        <f t="shared" si="2"/>
        <v>6100000</v>
      </c>
      <c r="E18" s="42">
        <v>0.0</v>
      </c>
      <c r="F18" s="42">
        <v>0.0</v>
      </c>
      <c r="G18" s="42">
        <v>0.0</v>
      </c>
      <c r="H18" s="42">
        <v>0.0</v>
      </c>
      <c r="I18" s="42">
        <v>0.0</v>
      </c>
      <c r="J18" s="43">
        <v>6100000.0</v>
      </c>
    </row>
    <row r="19">
      <c r="C19" s="44"/>
      <c r="E19" s="45"/>
      <c r="F19" s="45"/>
      <c r="G19" s="45"/>
      <c r="H19" s="45"/>
      <c r="I19" s="45"/>
      <c r="J19" s="42"/>
    </row>
    <row r="20">
      <c r="B20" s="1" t="s">
        <v>172</v>
      </c>
      <c r="C20" s="44">
        <f t="shared" ref="C20:C22" si="3">SUM(E20:J20)</f>
        <v>6100000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>
        <v>6100000.0</v>
      </c>
    </row>
    <row r="21">
      <c r="B21" s="1" t="s">
        <v>176</v>
      </c>
      <c r="C21" s="44">
        <f t="shared" si="3"/>
        <v>6100000</v>
      </c>
      <c r="E21" s="42">
        <v>0.0</v>
      </c>
      <c r="F21" s="42">
        <v>0.0</v>
      </c>
      <c r="G21" s="42">
        <v>0.0</v>
      </c>
      <c r="H21" s="42">
        <v>0.0</v>
      </c>
      <c r="I21" s="42">
        <v>0.0</v>
      </c>
      <c r="J21" s="43">
        <v>6100000.0</v>
      </c>
    </row>
    <row r="22">
      <c r="B22" s="1" t="s">
        <v>180</v>
      </c>
      <c r="C22" s="44">
        <f t="shared" si="3"/>
        <v>9500000</v>
      </c>
      <c r="E22" s="42">
        <v>0.0</v>
      </c>
      <c r="F22" s="42">
        <v>0.0</v>
      </c>
      <c r="G22" s="42">
        <v>0.0</v>
      </c>
      <c r="H22" s="42">
        <v>0.0</v>
      </c>
      <c r="I22" s="42">
        <v>3400000.0</v>
      </c>
      <c r="J22" s="42">
        <v>6100000.0</v>
      </c>
    </row>
    <row r="23">
      <c r="C23" s="44"/>
      <c r="E23" s="45"/>
      <c r="F23" s="45"/>
      <c r="G23" s="45"/>
      <c r="H23" s="45"/>
      <c r="I23" s="45"/>
      <c r="J23" s="42"/>
    </row>
    <row r="24">
      <c r="B24" s="1" t="s">
        <v>359</v>
      </c>
      <c r="C24" s="44">
        <f t="shared" ref="C24:C28" si="4">SUM(E24:J24)</f>
        <v>6100000</v>
      </c>
      <c r="E24" s="42">
        <v>0.0</v>
      </c>
      <c r="F24" s="42">
        <v>0.0</v>
      </c>
      <c r="G24" s="42">
        <v>0.0</v>
      </c>
      <c r="H24" s="42">
        <v>0.0</v>
      </c>
      <c r="I24" s="42">
        <v>0.0</v>
      </c>
      <c r="J24" s="42">
        <v>6100000.0</v>
      </c>
    </row>
    <row r="25">
      <c r="B25" s="1" t="s">
        <v>185</v>
      </c>
      <c r="C25" s="44">
        <f t="shared" si="4"/>
        <v>6100000</v>
      </c>
      <c r="E25" s="42">
        <v>0.0</v>
      </c>
      <c r="F25" s="42">
        <v>0.0</v>
      </c>
      <c r="G25" s="42">
        <v>0.0</v>
      </c>
      <c r="H25" s="42">
        <v>0.0</v>
      </c>
      <c r="I25" s="42">
        <v>0.0</v>
      </c>
      <c r="J25" s="42">
        <v>6100000.0</v>
      </c>
    </row>
    <row r="26">
      <c r="B26" s="1" t="s">
        <v>190</v>
      </c>
      <c r="C26" s="44">
        <f t="shared" si="4"/>
        <v>4880000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3">
        <v>4880000.0</v>
      </c>
    </row>
    <row r="27">
      <c r="B27" s="1" t="s">
        <v>365</v>
      </c>
      <c r="C27" s="44">
        <f t="shared" si="4"/>
        <v>6100000</v>
      </c>
      <c r="E27" s="42">
        <v>0.0</v>
      </c>
      <c r="F27" s="42">
        <v>0.0</v>
      </c>
      <c r="G27" s="42">
        <v>0.0</v>
      </c>
      <c r="H27" s="42">
        <v>0.0</v>
      </c>
      <c r="I27" s="42">
        <v>0.0</v>
      </c>
      <c r="J27" s="42">
        <v>6100000.0</v>
      </c>
    </row>
    <row r="28">
      <c r="B28" s="1" t="s">
        <v>193</v>
      </c>
      <c r="C28" s="44">
        <f t="shared" si="4"/>
        <v>6100000</v>
      </c>
      <c r="E28" s="42">
        <v>0.0</v>
      </c>
      <c r="F28" s="42">
        <v>0.0</v>
      </c>
      <c r="G28" s="42">
        <v>0.0</v>
      </c>
      <c r="H28" s="42">
        <v>0.0</v>
      </c>
      <c r="I28" s="42">
        <v>0.0</v>
      </c>
      <c r="J28" s="42">
        <v>6100000.0</v>
      </c>
    </row>
    <row r="29">
      <c r="C29" s="44"/>
      <c r="E29" s="45"/>
      <c r="F29" s="45"/>
      <c r="G29" s="45"/>
      <c r="H29" s="45"/>
      <c r="I29" s="45"/>
      <c r="J29" s="42"/>
    </row>
    <row r="30">
      <c r="B30" s="1" t="s">
        <v>369</v>
      </c>
      <c r="C30" s="44">
        <f t="shared" ref="C30:C31" si="5">SUM(E30:J30)</f>
        <v>6100000</v>
      </c>
      <c r="E30" s="42">
        <v>0.0</v>
      </c>
      <c r="F30" s="42">
        <v>0.0</v>
      </c>
      <c r="G30" s="42">
        <v>0.0</v>
      </c>
      <c r="H30" s="42">
        <v>0.0</v>
      </c>
      <c r="I30" s="42">
        <v>0.0</v>
      </c>
      <c r="J30" s="42">
        <v>6100000.0</v>
      </c>
    </row>
    <row r="31">
      <c r="B31" s="1" t="s">
        <v>202</v>
      </c>
      <c r="C31" s="44">
        <f t="shared" si="5"/>
        <v>6100000</v>
      </c>
      <c r="E31" s="42">
        <v>0.0</v>
      </c>
      <c r="F31" s="42">
        <v>0.0</v>
      </c>
      <c r="G31" s="42">
        <v>0.0</v>
      </c>
      <c r="H31" s="42">
        <v>0.0</v>
      </c>
      <c r="I31" s="42">
        <v>0.0</v>
      </c>
      <c r="J31" s="43">
        <v>6100000.0</v>
      </c>
    </row>
    <row r="32">
      <c r="C32" s="44"/>
      <c r="E32" s="45"/>
      <c r="F32" s="45"/>
      <c r="G32" s="45"/>
      <c r="H32" s="45"/>
      <c r="I32" s="45"/>
      <c r="J32" s="42"/>
    </row>
    <row r="33">
      <c r="B33" s="1" t="s">
        <v>203</v>
      </c>
      <c r="C33" s="44">
        <f t="shared" ref="C33:C34" si="6">SUM(E33:J33)</f>
        <v>9750000</v>
      </c>
      <c r="E33" s="42">
        <v>0.0</v>
      </c>
      <c r="F33" s="42">
        <v>0.0</v>
      </c>
      <c r="G33" s="42">
        <v>0.0</v>
      </c>
      <c r="H33" s="42">
        <v>0.0</v>
      </c>
      <c r="I33" s="42">
        <v>3650000.0</v>
      </c>
      <c r="J33" s="42">
        <v>6100000.0</v>
      </c>
    </row>
    <row r="34">
      <c r="B34" s="1" t="s">
        <v>205</v>
      </c>
      <c r="C34" s="44">
        <f t="shared" si="6"/>
        <v>9780000</v>
      </c>
      <c r="E34" s="42">
        <v>0.0</v>
      </c>
      <c r="F34" s="42">
        <v>0.0</v>
      </c>
      <c r="G34" s="42">
        <v>0.0</v>
      </c>
      <c r="H34" s="42">
        <v>0.0</v>
      </c>
      <c r="I34" s="42">
        <v>3680000.0</v>
      </c>
      <c r="J34" s="42">
        <v>6100000.0</v>
      </c>
    </row>
    <row r="35">
      <c r="C35" s="44"/>
      <c r="E35" s="45"/>
      <c r="F35" s="45"/>
      <c r="G35" s="45"/>
      <c r="H35" s="45"/>
      <c r="I35" s="45"/>
      <c r="J35" s="42"/>
    </row>
    <row r="36">
      <c r="B36" s="1" t="s">
        <v>212</v>
      </c>
      <c r="C36" s="44">
        <f t="shared" ref="C36:C40" si="7">SUM(E36:J36)</f>
        <v>6100000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3">
        <v>6100000.0</v>
      </c>
    </row>
    <row r="37">
      <c r="B37" s="1" t="s">
        <v>214</v>
      </c>
      <c r="C37" s="44">
        <f t="shared" si="7"/>
        <v>12450000</v>
      </c>
      <c r="E37" s="42">
        <v>0.0</v>
      </c>
      <c r="F37" s="42">
        <v>0.0</v>
      </c>
      <c r="G37" s="42">
        <v>0.0</v>
      </c>
      <c r="H37" s="42">
        <v>2650000.0</v>
      </c>
      <c r="I37" s="42">
        <v>3700000.0</v>
      </c>
      <c r="J37" s="42">
        <v>6100000.0</v>
      </c>
    </row>
    <row r="38">
      <c r="B38" s="1" t="s">
        <v>216</v>
      </c>
      <c r="C38" s="44">
        <f t="shared" si="7"/>
        <v>12200000</v>
      </c>
      <c r="E38" s="42">
        <v>0.0</v>
      </c>
      <c r="F38" s="42">
        <v>0.0</v>
      </c>
      <c r="G38" s="42">
        <v>0.0</v>
      </c>
      <c r="H38" s="42">
        <v>2600000.0</v>
      </c>
      <c r="I38" s="42">
        <v>3500000.0</v>
      </c>
      <c r="J38" s="42">
        <v>6100000.0</v>
      </c>
    </row>
    <row r="39">
      <c r="B39" s="3">
        <v>121.0</v>
      </c>
      <c r="C39" s="44">
        <f t="shared" si="7"/>
        <v>12100000</v>
      </c>
      <c r="E39" s="42">
        <v>0.0</v>
      </c>
      <c r="F39" s="42">
        <v>0.0</v>
      </c>
      <c r="G39" s="42">
        <v>0.0</v>
      </c>
      <c r="H39" s="42">
        <v>2480000.0</v>
      </c>
      <c r="I39" s="42">
        <v>3520000.0</v>
      </c>
      <c r="J39" s="42">
        <v>6100000.0</v>
      </c>
    </row>
    <row r="40">
      <c r="B40" s="1" t="s">
        <v>217</v>
      </c>
      <c r="C40" s="44">
        <f t="shared" si="7"/>
        <v>11900000</v>
      </c>
      <c r="E40" s="42">
        <v>0.0</v>
      </c>
      <c r="F40" s="42">
        <v>0.0</v>
      </c>
      <c r="G40" s="42">
        <v>0.0</v>
      </c>
      <c r="H40" s="42">
        <v>2400000.0</v>
      </c>
      <c r="I40" s="42">
        <v>3400000.0</v>
      </c>
      <c r="J40" s="42">
        <v>6100000.0</v>
      </c>
    </row>
    <row r="41">
      <c r="C41" s="44"/>
      <c r="E41" s="45"/>
      <c r="F41" s="45"/>
      <c r="G41" s="45"/>
      <c r="H41" s="45"/>
      <c r="I41" s="45"/>
      <c r="J41" s="42"/>
    </row>
    <row r="42">
      <c r="B42" s="1" t="s">
        <v>219</v>
      </c>
      <c r="C42" s="44">
        <f t="shared" ref="C42:C44" si="8">SUM(E42:J42)</f>
        <v>6100000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>
        <v>6100000.0</v>
      </c>
    </row>
    <row r="43">
      <c r="B43" s="1" t="s">
        <v>220</v>
      </c>
      <c r="C43" s="44">
        <f t="shared" si="8"/>
        <v>6100000</v>
      </c>
      <c r="E43" s="42">
        <v>0.0</v>
      </c>
      <c r="F43" s="42">
        <v>0.0</v>
      </c>
      <c r="G43" s="42">
        <v>0.0</v>
      </c>
      <c r="H43" s="42">
        <v>0.0</v>
      </c>
      <c r="I43" s="42">
        <v>0.0</v>
      </c>
      <c r="J43" s="42">
        <v>6100000.0</v>
      </c>
    </row>
    <row r="44">
      <c r="B44" s="1" t="s">
        <v>221</v>
      </c>
      <c r="C44" s="44">
        <f t="shared" si="8"/>
        <v>6100000</v>
      </c>
      <c r="E44" s="42">
        <v>0.0</v>
      </c>
      <c r="F44" s="42">
        <v>0.0</v>
      </c>
      <c r="G44" s="42">
        <v>0.0</v>
      </c>
      <c r="H44" s="42">
        <v>0.0</v>
      </c>
      <c r="I44" s="42">
        <v>0.0</v>
      </c>
      <c r="J44" s="42">
        <v>6100000.0</v>
      </c>
    </row>
    <row r="45">
      <c r="C45" s="44"/>
      <c r="H45" s="45">
        <f t="shared" ref="H45:J45" si="9">SUM(H4:H44)</f>
        <v>10130000</v>
      </c>
      <c r="I45" s="45">
        <f t="shared" si="9"/>
        <v>24850000</v>
      </c>
      <c r="J45" s="45">
        <f t="shared" si="9"/>
        <v>206180000</v>
      </c>
    </row>
    <row r="46">
      <c r="B46" s="1" t="s">
        <v>211</v>
      </c>
      <c r="C46" s="44">
        <f>sum(C4:C44)</f>
        <v>241160000</v>
      </c>
    </row>
    <row r="47">
      <c r="B47" s="1" t="s">
        <v>402</v>
      </c>
      <c r="C47" s="45">
        <f>sum(J5,J6,J7,J8,J9,J12,I13,J16,J26,J36,J21)</f>
        <v>59780000</v>
      </c>
    </row>
    <row r="48">
      <c r="B48" s="1" t="s">
        <v>410</v>
      </c>
      <c r="C48" s="45">
        <f>sum(E4:I44)</f>
        <v>34980000</v>
      </c>
    </row>
    <row r="49">
      <c r="B49" s="1" t="s">
        <v>414</v>
      </c>
      <c r="C49" s="45">
        <f>SUM(E4:I36)</f>
        <v>10730000</v>
      </c>
    </row>
    <row r="50">
      <c r="B50" s="1" t="s">
        <v>417</v>
      </c>
      <c r="C50" s="42">
        <f>SUM(H22,I25,H34)</f>
        <v>0</v>
      </c>
    </row>
    <row r="51">
      <c r="B51" s="1" t="s">
        <v>419</v>
      </c>
      <c r="C51" s="45">
        <f>SUM(J5,J6,J7,J8,J9,J12,J16,J26,J36,J21)</f>
        <v>59780000</v>
      </c>
    </row>
    <row r="53">
      <c r="B53" s="1" t="s">
        <v>421</v>
      </c>
      <c r="C53" s="1">
        <f>COUNTIF(J4:J44,"&gt;0")</f>
        <v>34</v>
      </c>
    </row>
    <row r="54">
      <c r="B54" s="1" t="s">
        <v>423</v>
      </c>
      <c r="C54" s="1">
        <f>COUNTIF(E4:I44,"&gt;0")</f>
        <v>11</v>
      </c>
    </row>
    <row r="55">
      <c r="B55" s="1" t="s">
        <v>211</v>
      </c>
      <c r="C55" s="1">
        <f>C53+C54</f>
        <v>45</v>
      </c>
    </row>
    <row r="57">
      <c r="B57" s="1" t="s">
        <v>426</v>
      </c>
      <c r="C57" s="1">
        <v>45.0</v>
      </c>
    </row>
    <row r="58">
      <c r="B58" s="1" t="s">
        <v>427</v>
      </c>
      <c r="C58" s="10">
        <f>C55-C57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211</v>
      </c>
      <c r="E1" s="1" t="s">
        <v>269</v>
      </c>
      <c r="F1" s="1" t="s">
        <v>422</v>
      </c>
      <c r="G1" s="1" t="s">
        <v>271</v>
      </c>
      <c r="H1" s="1" t="s">
        <v>422</v>
      </c>
      <c r="I1" s="1" t="s">
        <v>272</v>
      </c>
      <c r="J1" s="1" t="s">
        <v>422</v>
      </c>
      <c r="K1" s="1" t="s">
        <v>274</v>
      </c>
      <c r="L1" s="1" t="s">
        <v>422</v>
      </c>
      <c r="M1" s="1" t="s">
        <v>276</v>
      </c>
      <c r="N1" s="1" t="s">
        <v>422</v>
      </c>
      <c r="O1" s="1" t="s">
        <v>277</v>
      </c>
    </row>
    <row r="2">
      <c r="B2" s="1" t="s">
        <v>339</v>
      </c>
      <c r="C2" s="44">
        <f t="shared" ref="C2:C5" si="1">SUM(E2:O2)</f>
        <v>207517</v>
      </c>
      <c r="E2" s="42">
        <v>0.0</v>
      </c>
      <c r="F2" s="42">
        <v>0.0</v>
      </c>
      <c r="G2" s="42">
        <v>0.0</v>
      </c>
      <c r="H2" s="42">
        <v>0.0</v>
      </c>
      <c r="I2" s="42">
        <v>0.0</v>
      </c>
      <c r="J2" s="42">
        <v>0.0</v>
      </c>
      <c r="K2" s="42">
        <v>0.0</v>
      </c>
      <c r="L2" s="42">
        <v>0.0</v>
      </c>
      <c r="M2" s="48">
        <v>79300.0</v>
      </c>
      <c r="N2" s="42">
        <v>128217.0</v>
      </c>
      <c r="O2" s="42">
        <v>0.0</v>
      </c>
    </row>
    <row r="3">
      <c r="B3" s="1" t="s">
        <v>146</v>
      </c>
      <c r="C3" s="44">
        <f t="shared" si="1"/>
        <v>149310</v>
      </c>
      <c r="E3" s="42">
        <v>0.0</v>
      </c>
      <c r="F3" s="42">
        <v>0.0</v>
      </c>
      <c r="G3" s="42">
        <v>0.0</v>
      </c>
      <c r="H3" s="42">
        <v>0.0</v>
      </c>
      <c r="I3" s="42">
        <v>0.0</v>
      </c>
      <c r="J3" s="42">
        <v>0.0</v>
      </c>
      <c r="K3" s="42">
        <v>0.0</v>
      </c>
      <c r="L3" s="42">
        <v>0.0</v>
      </c>
      <c r="M3" s="42">
        <v>0.0</v>
      </c>
      <c r="N3" s="43">
        <v>149310.0</v>
      </c>
      <c r="O3" s="42">
        <v>0.0</v>
      </c>
    </row>
    <row r="4">
      <c r="B4" s="1" t="s">
        <v>148</v>
      </c>
      <c r="C4" s="44">
        <f t="shared" si="1"/>
        <v>171430</v>
      </c>
      <c r="E4" s="42">
        <v>0.0</v>
      </c>
      <c r="F4" s="42">
        <v>0.0</v>
      </c>
      <c r="G4" s="42">
        <v>0.0</v>
      </c>
      <c r="H4" s="42">
        <v>0.0</v>
      </c>
      <c r="I4" s="42">
        <v>0.0</v>
      </c>
      <c r="J4" s="42">
        <v>0.0</v>
      </c>
      <c r="K4" s="42">
        <v>0.0</v>
      </c>
      <c r="L4" s="42">
        <v>0.0</v>
      </c>
      <c r="M4" s="42">
        <v>0.0</v>
      </c>
      <c r="N4" s="43">
        <v>171430.0</v>
      </c>
      <c r="O4" s="42">
        <v>0.0</v>
      </c>
    </row>
    <row r="5">
      <c r="B5" s="1" t="s">
        <v>156</v>
      </c>
      <c r="C5" s="44">
        <f t="shared" si="1"/>
        <v>158800</v>
      </c>
      <c r="E5" s="42">
        <v>0.0</v>
      </c>
      <c r="F5" s="42">
        <v>0.0</v>
      </c>
      <c r="G5" s="42">
        <v>0.0</v>
      </c>
      <c r="H5" s="42">
        <v>0.0</v>
      </c>
      <c r="I5" s="42">
        <v>0.0</v>
      </c>
      <c r="J5" s="42">
        <v>0.0</v>
      </c>
      <c r="K5" s="42">
        <v>0.0</v>
      </c>
      <c r="L5" s="42">
        <v>0.0</v>
      </c>
      <c r="M5" s="48">
        <v>158800.0</v>
      </c>
      <c r="N5" s="42">
        <v>0.0</v>
      </c>
      <c r="O5" s="42">
        <v>0.0</v>
      </c>
    </row>
    <row r="6">
      <c r="C6" s="44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>
      <c r="B7" s="1" t="s">
        <v>180</v>
      </c>
      <c r="C7" s="44">
        <f>SUM(E7:O7)</f>
        <v>533862</v>
      </c>
      <c r="E7" s="42">
        <v>0.0</v>
      </c>
      <c r="F7" s="42">
        <v>0.0</v>
      </c>
      <c r="G7" s="42">
        <v>0.0</v>
      </c>
      <c r="H7" s="42">
        <v>0.0</v>
      </c>
      <c r="I7" s="42">
        <v>0.0</v>
      </c>
      <c r="J7" s="42">
        <v>0.0</v>
      </c>
      <c r="K7" s="48">
        <v>75400.0</v>
      </c>
      <c r="L7" s="42">
        <v>109062.0</v>
      </c>
      <c r="M7" s="42">
        <v>124400.0</v>
      </c>
      <c r="N7" s="42">
        <v>225000.0</v>
      </c>
      <c r="O7" s="42">
        <v>0.0</v>
      </c>
    </row>
    <row r="8">
      <c r="C8" s="44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>
      <c r="B9" s="1" t="s">
        <v>359</v>
      </c>
      <c r="C9" s="44">
        <f t="shared" ref="C9:C11" si="2">SUM(E9:O9)</f>
        <v>218830</v>
      </c>
      <c r="E9" s="42">
        <v>0.0</v>
      </c>
      <c r="F9" s="42">
        <v>0.0</v>
      </c>
      <c r="G9" s="42">
        <v>0.0</v>
      </c>
      <c r="H9" s="42">
        <v>0.0</v>
      </c>
      <c r="I9" s="42">
        <v>0.0</v>
      </c>
      <c r="J9" s="42">
        <v>0.0</v>
      </c>
      <c r="K9" s="42">
        <v>0.0</v>
      </c>
      <c r="L9" s="42">
        <v>0.0</v>
      </c>
      <c r="M9" s="42">
        <v>0.0</v>
      </c>
      <c r="N9" s="43">
        <v>218830.0</v>
      </c>
      <c r="O9" s="42">
        <v>0.0</v>
      </c>
    </row>
    <row r="10">
      <c r="B10" s="1" t="s">
        <v>185</v>
      </c>
      <c r="C10" s="44">
        <f t="shared" si="2"/>
        <v>49200</v>
      </c>
      <c r="E10" s="42">
        <v>0.0</v>
      </c>
      <c r="F10" s="42">
        <v>0.0</v>
      </c>
      <c r="G10" s="42">
        <v>0.0</v>
      </c>
      <c r="H10" s="42">
        <v>0.0</v>
      </c>
      <c r="I10" s="42">
        <v>0.0</v>
      </c>
      <c r="J10" s="42">
        <v>0.0</v>
      </c>
      <c r="K10" s="42">
        <v>0.0</v>
      </c>
      <c r="L10" s="42">
        <v>0.0</v>
      </c>
      <c r="M10" s="48">
        <v>49200.0</v>
      </c>
      <c r="N10" s="42">
        <v>0.0</v>
      </c>
      <c r="O10" s="42">
        <v>0.0</v>
      </c>
    </row>
    <row r="11">
      <c r="B11" s="1" t="s">
        <v>193</v>
      </c>
      <c r="C11" s="44">
        <f t="shared" si="2"/>
        <v>206190</v>
      </c>
      <c r="E11" s="42">
        <v>0.0</v>
      </c>
      <c r="F11" s="42">
        <v>0.0</v>
      </c>
      <c r="G11" s="42">
        <v>0.0</v>
      </c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206190.0</v>
      </c>
      <c r="O11" s="42">
        <v>0.0</v>
      </c>
    </row>
    <row r="12">
      <c r="C12" s="44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</row>
    <row r="13">
      <c r="B13" s="1" t="s">
        <v>369</v>
      </c>
      <c r="C13" s="44">
        <f>SUM(E13:O13)</f>
        <v>250900</v>
      </c>
      <c r="E13" s="42">
        <v>0.0</v>
      </c>
      <c r="F13" s="42">
        <v>0.0</v>
      </c>
      <c r="G13" s="42">
        <v>0.0</v>
      </c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2">
        <v>0.0</v>
      </c>
      <c r="N13" s="43">
        <v>188400.0</v>
      </c>
      <c r="O13" s="42">
        <v>62500.0</v>
      </c>
    </row>
    <row r="14">
      <c r="C14" s="44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>
      <c r="B15" s="1" t="s">
        <v>203</v>
      </c>
      <c r="C15" s="44">
        <f t="shared" ref="C15:C16" si="3">SUM(E15:O15)</f>
        <v>497102</v>
      </c>
      <c r="E15" s="42">
        <v>0.0</v>
      </c>
      <c r="F15" s="42">
        <v>0.0</v>
      </c>
      <c r="G15" s="42">
        <v>0.0</v>
      </c>
      <c r="H15" s="42">
        <v>0.0</v>
      </c>
      <c r="I15" s="42">
        <v>0.0</v>
      </c>
      <c r="J15" s="42">
        <v>0.0</v>
      </c>
      <c r="K15" s="42">
        <v>0.0</v>
      </c>
      <c r="L15" s="43">
        <v>138502.0</v>
      </c>
      <c r="M15" s="42">
        <v>139900.0</v>
      </c>
      <c r="N15" s="42">
        <v>218700.0</v>
      </c>
      <c r="O15" s="42">
        <v>0.0</v>
      </c>
    </row>
    <row r="16">
      <c r="B16" s="1" t="s">
        <v>205</v>
      </c>
      <c r="C16" s="44">
        <f t="shared" si="3"/>
        <v>515500</v>
      </c>
      <c r="E16" s="42">
        <v>0.0</v>
      </c>
      <c r="F16" s="42">
        <v>0.0</v>
      </c>
      <c r="G16" s="42">
        <v>0.0</v>
      </c>
      <c r="H16" s="42">
        <v>0.0</v>
      </c>
      <c r="I16" s="42">
        <v>0.0</v>
      </c>
      <c r="J16" s="42">
        <v>0.0</v>
      </c>
      <c r="K16" s="42">
        <v>0.0</v>
      </c>
      <c r="L16" s="43">
        <v>156900.0</v>
      </c>
      <c r="M16" s="42">
        <v>136500.0</v>
      </c>
      <c r="N16" s="42">
        <v>222100.0</v>
      </c>
      <c r="O16" s="42">
        <v>0.0</v>
      </c>
    </row>
    <row r="17">
      <c r="C17" s="44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</row>
    <row r="18">
      <c r="B18" s="1" t="s">
        <v>214</v>
      </c>
      <c r="C18" s="44">
        <f t="shared" ref="C18:C21" si="4">SUM(E18:O18)</f>
        <v>723638</v>
      </c>
      <c r="E18" s="42">
        <v>0.0</v>
      </c>
      <c r="F18" s="42">
        <v>0.0</v>
      </c>
      <c r="G18" s="42">
        <v>0.0</v>
      </c>
      <c r="H18" s="42">
        <v>0.0</v>
      </c>
      <c r="I18" s="48">
        <v>70200.0</v>
      </c>
      <c r="J18" s="42">
        <v>84832.0</v>
      </c>
      <c r="K18" s="42">
        <v>72900.0</v>
      </c>
      <c r="L18" s="42">
        <v>154336.0</v>
      </c>
      <c r="M18" s="42">
        <v>109800.0</v>
      </c>
      <c r="N18" s="42">
        <v>231570.0</v>
      </c>
      <c r="O18" s="42">
        <v>0.0</v>
      </c>
    </row>
    <row r="19">
      <c r="B19" s="1" t="s">
        <v>216</v>
      </c>
      <c r="C19" s="44">
        <f t="shared" si="4"/>
        <v>726000</v>
      </c>
      <c r="E19" s="42">
        <v>0.0</v>
      </c>
      <c r="F19" s="42">
        <v>0.0</v>
      </c>
      <c r="G19" s="42">
        <v>0.0</v>
      </c>
      <c r="H19" s="42">
        <v>0.0</v>
      </c>
      <c r="I19" s="48">
        <v>74000.0</v>
      </c>
      <c r="J19" s="42">
        <v>34000.0</v>
      </c>
      <c r="K19" s="42">
        <v>123300.0</v>
      </c>
      <c r="L19" s="42">
        <v>136500.0</v>
      </c>
      <c r="M19" s="42">
        <v>160200.0</v>
      </c>
      <c r="N19" s="42">
        <v>198000.0</v>
      </c>
      <c r="O19" s="42">
        <v>0.0</v>
      </c>
    </row>
    <row r="20">
      <c r="B20" s="3">
        <v>121.0</v>
      </c>
      <c r="C20" s="44">
        <f t="shared" si="4"/>
        <v>645100</v>
      </c>
      <c r="E20" s="42">
        <v>0.0</v>
      </c>
      <c r="F20" s="42">
        <v>0.0</v>
      </c>
      <c r="G20" s="42">
        <v>0.0</v>
      </c>
      <c r="H20" s="42">
        <v>0.0</v>
      </c>
      <c r="I20" s="48">
        <v>52600.0</v>
      </c>
      <c r="J20" s="42">
        <v>29400.0</v>
      </c>
      <c r="K20" s="42">
        <v>101300.0</v>
      </c>
      <c r="L20" s="42">
        <v>143500.0</v>
      </c>
      <c r="M20" s="42">
        <v>150900.0</v>
      </c>
      <c r="N20" s="42">
        <v>167400.0</v>
      </c>
      <c r="O20" s="42">
        <v>0.0</v>
      </c>
    </row>
    <row r="21">
      <c r="B21" s="1" t="s">
        <v>217</v>
      </c>
      <c r="C21" s="44">
        <f t="shared" si="4"/>
        <v>651252</v>
      </c>
      <c r="E21" s="42">
        <v>0.0</v>
      </c>
      <c r="F21" s="42">
        <v>0.0</v>
      </c>
      <c r="G21" s="42">
        <v>0.0</v>
      </c>
      <c r="H21" s="42">
        <v>0.0</v>
      </c>
      <c r="I21" s="48">
        <v>49500.0</v>
      </c>
      <c r="J21" s="42">
        <v>69692.0</v>
      </c>
      <c r="K21" s="42">
        <v>91700.0</v>
      </c>
      <c r="L21" s="42">
        <v>133000.0</v>
      </c>
      <c r="M21" s="42">
        <v>114600.0</v>
      </c>
      <c r="N21" s="42">
        <v>192760.0</v>
      </c>
      <c r="O21" s="42">
        <v>0.0</v>
      </c>
    </row>
    <row r="22">
      <c r="C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>
      <c r="B23" s="1" t="s">
        <v>219</v>
      </c>
      <c r="C23" s="44">
        <f t="shared" ref="C23:C24" si="5">SUM(E23:O23)</f>
        <v>195207</v>
      </c>
      <c r="E23" s="42">
        <v>0.0</v>
      </c>
      <c r="F23" s="42">
        <v>0.0</v>
      </c>
      <c r="G23" s="42">
        <v>0.0</v>
      </c>
      <c r="H23" s="42">
        <v>0.0</v>
      </c>
      <c r="I23" s="42">
        <v>0.0</v>
      </c>
      <c r="J23" s="42">
        <v>0.0</v>
      </c>
      <c r="K23" s="42">
        <v>0.0</v>
      </c>
      <c r="L23" s="42">
        <v>0.0</v>
      </c>
      <c r="M23" s="42">
        <v>0.0</v>
      </c>
      <c r="N23" s="43">
        <v>195207.0</v>
      </c>
      <c r="O23" s="42">
        <v>0.0</v>
      </c>
    </row>
    <row r="24">
      <c r="B24" s="1" t="s">
        <v>221</v>
      </c>
      <c r="C24" s="44">
        <f t="shared" si="5"/>
        <v>173445</v>
      </c>
      <c r="E24" s="42">
        <v>0.0</v>
      </c>
      <c r="F24" s="42">
        <v>0.0</v>
      </c>
      <c r="G24" s="42">
        <v>0.0</v>
      </c>
      <c r="H24" s="42">
        <v>0.0</v>
      </c>
      <c r="I24" s="42">
        <v>0.0</v>
      </c>
      <c r="J24" s="42">
        <v>0.0</v>
      </c>
      <c r="K24" s="42">
        <v>0.0</v>
      </c>
      <c r="L24" s="42">
        <v>0.0</v>
      </c>
      <c r="M24" s="42">
        <v>0.0</v>
      </c>
      <c r="N24" s="43">
        <v>173445.0</v>
      </c>
      <c r="O24" s="42">
        <v>0.0</v>
      </c>
    </row>
    <row r="25">
      <c r="C25" s="44"/>
      <c r="I25" s="45">
        <f>SUM(I2:I24)</f>
        <v>246300</v>
      </c>
      <c r="K25" s="45">
        <f>SUM(K2:K24)</f>
        <v>464600</v>
      </c>
      <c r="M25" s="45">
        <f>SUM(M2:M24)</f>
        <v>1223600</v>
      </c>
    </row>
    <row r="26">
      <c r="B26" s="1" t="s">
        <v>211</v>
      </c>
      <c r="C26" s="44">
        <f>sum(C2:C24)</f>
        <v>6073283</v>
      </c>
      <c r="E26" s="1" t="s">
        <v>431</v>
      </c>
      <c r="F26" s="45">
        <f>sum(O2:O24)</f>
        <v>62500</v>
      </c>
      <c r="H26" s="1" t="s">
        <v>432</v>
      </c>
      <c r="I26" s="45">
        <f>sum(I18:N21)</f>
        <v>2745990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211</v>
      </c>
      <c r="E1" s="1" t="s">
        <v>269</v>
      </c>
      <c r="F1" s="1" t="s">
        <v>271</v>
      </c>
      <c r="G1" s="1" t="s">
        <v>272</v>
      </c>
      <c r="H1" s="1" t="s">
        <v>274</v>
      </c>
      <c r="I1" s="1" t="s">
        <v>276</v>
      </c>
      <c r="J1" s="1" t="s">
        <v>277</v>
      </c>
    </row>
    <row r="2">
      <c r="B2" s="1" t="s">
        <v>180</v>
      </c>
      <c r="C2" s="44">
        <f>SUM(E2:J2)</f>
        <v>51000</v>
      </c>
      <c r="E2" s="42">
        <v>0.0</v>
      </c>
      <c r="F2" s="42">
        <v>0.0</v>
      </c>
      <c r="G2" s="42">
        <v>0.0</v>
      </c>
      <c r="H2" s="42">
        <v>0.0</v>
      </c>
      <c r="I2" s="43">
        <v>51000.0</v>
      </c>
      <c r="J2" s="42">
        <v>0.0</v>
      </c>
    </row>
    <row r="3">
      <c r="C3" s="44"/>
      <c r="E3" s="45"/>
      <c r="F3" s="45"/>
      <c r="G3" s="45"/>
      <c r="H3" s="45"/>
      <c r="I3" s="45"/>
      <c r="J3" s="45"/>
    </row>
    <row r="4">
      <c r="C4" s="44"/>
      <c r="E4" s="45"/>
      <c r="F4" s="45"/>
      <c r="G4" s="45"/>
      <c r="H4" s="45"/>
      <c r="I4" s="45"/>
      <c r="J4" s="45"/>
    </row>
    <row r="5">
      <c r="B5" s="1" t="s">
        <v>369</v>
      </c>
      <c r="C5" s="44">
        <f>SUM(E5:J5)</f>
        <v>62500</v>
      </c>
      <c r="E5" s="42">
        <v>0.0</v>
      </c>
      <c r="F5" s="42">
        <v>0.0</v>
      </c>
      <c r="G5" s="42">
        <v>0.0</v>
      </c>
      <c r="H5" s="42">
        <v>0.0</v>
      </c>
      <c r="I5" s="42">
        <v>0.0</v>
      </c>
      <c r="J5" s="43">
        <v>62500.0</v>
      </c>
    </row>
    <row r="6">
      <c r="C6" s="44"/>
      <c r="E6" s="45"/>
      <c r="F6" s="45"/>
      <c r="G6" s="45"/>
      <c r="H6" s="45"/>
      <c r="I6" s="45"/>
      <c r="J6" s="45"/>
    </row>
    <row r="7">
      <c r="B7" s="1" t="s">
        <v>203</v>
      </c>
      <c r="C7" s="44">
        <f t="shared" ref="C7:C8" si="1">SUM(E7:J7)</f>
        <v>64000</v>
      </c>
      <c r="E7" s="42">
        <v>0.0</v>
      </c>
      <c r="F7" s="42">
        <v>0.0</v>
      </c>
      <c r="G7" s="42">
        <v>0.0</v>
      </c>
      <c r="H7" s="42">
        <v>0.0</v>
      </c>
      <c r="I7" s="42">
        <v>64000.0</v>
      </c>
      <c r="J7" s="42">
        <v>0.0</v>
      </c>
    </row>
    <row r="8">
      <c r="B8" s="1" t="s">
        <v>205</v>
      </c>
      <c r="C8" s="44">
        <f t="shared" si="1"/>
        <v>82600</v>
      </c>
      <c r="E8" s="42">
        <v>0.0</v>
      </c>
      <c r="F8" s="42">
        <v>0.0</v>
      </c>
      <c r="G8" s="42">
        <v>0.0</v>
      </c>
      <c r="H8" s="42">
        <v>0.0</v>
      </c>
      <c r="I8" s="42">
        <v>82600.0</v>
      </c>
      <c r="J8" s="42">
        <v>0.0</v>
      </c>
    </row>
    <row r="9">
      <c r="C9" s="44"/>
      <c r="E9" s="45"/>
      <c r="F9" s="45"/>
      <c r="G9" s="45"/>
      <c r="H9" s="45"/>
      <c r="I9" s="45"/>
      <c r="J9" s="45"/>
    </row>
    <row r="10">
      <c r="B10" s="1" t="s">
        <v>214</v>
      </c>
      <c r="C10" s="44">
        <f t="shared" ref="C10:C13" si="2">SUM(E10:J10)</f>
        <v>26000</v>
      </c>
      <c r="E10" s="42">
        <v>0.0</v>
      </c>
      <c r="F10" s="42">
        <v>0.0</v>
      </c>
      <c r="G10" s="43">
        <v>26000.0</v>
      </c>
      <c r="H10" s="42">
        <v>0.0</v>
      </c>
      <c r="I10" s="42">
        <v>0.0</v>
      </c>
      <c r="J10" s="42">
        <v>0.0</v>
      </c>
    </row>
    <row r="11">
      <c r="B11" s="1" t="s">
        <v>216</v>
      </c>
      <c r="C11" s="44">
        <f t="shared" si="2"/>
        <v>19500</v>
      </c>
      <c r="E11" s="42">
        <v>0.0</v>
      </c>
      <c r="F11" s="42">
        <v>0.0</v>
      </c>
      <c r="G11" s="43">
        <v>19500.0</v>
      </c>
      <c r="H11" s="42">
        <v>0.0</v>
      </c>
      <c r="I11" s="42">
        <v>0.0</v>
      </c>
      <c r="J11" s="42">
        <v>0.0</v>
      </c>
    </row>
    <row r="12">
      <c r="B12" s="3">
        <v>121.0</v>
      </c>
      <c r="C12" s="44">
        <f t="shared" si="2"/>
        <v>28000</v>
      </c>
      <c r="E12" s="42">
        <v>0.0</v>
      </c>
      <c r="F12" s="42">
        <v>0.0</v>
      </c>
      <c r="G12" s="43">
        <v>28000.0</v>
      </c>
      <c r="H12" s="42">
        <v>0.0</v>
      </c>
      <c r="I12" s="42">
        <v>0.0</v>
      </c>
      <c r="J12" s="42">
        <v>0.0</v>
      </c>
    </row>
    <row r="13">
      <c r="B13" s="1" t="s">
        <v>217</v>
      </c>
      <c r="C13" s="44">
        <f t="shared" si="2"/>
        <v>24900</v>
      </c>
      <c r="E13" s="42">
        <v>0.0</v>
      </c>
      <c r="F13" s="42">
        <v>0.0</v>
      </c>
      <c r="G13" s="43">
        <v>24900.0</v>
      </c>
      <c r="H13" s="42">
        <v>0.0</v>
      </c>
      <c r="I13" s="42">
        <v>0.0</v>
      </c>
      <c r="J13" s="42">
        <v>0.0</v>
      </c>
    </row>
    <row r="14">
      <c r="C14" s="44"/>
      <c r="G14" s="45">
        <f t="shared" ref="G14:I14" si="3">SUM(G2:G13)</f>
        <v>98400</v>
      </c>
      <c r="H14" s="45">
        <f t="shared" si="3"/>
        <v>0</v>
      </c>
      <c r="I14" s="45">
        <f t="shared" si="3"/>
        <v>197600</v>
      </c>
    </row>
    <row r="15">
      <c r="B15" s="1" t="s">
        <v>211</v>
      </c>
      <c r="C15" s="44">
        <f>sum(C2:C13)</f>
        <v>358500</v>
      </c>
      <c r="E15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211</v>
      </c>
      <c r="E1" s="1" t="s">
        <v>271</v>
      </c>
      <c r="F1" s="1" t="s">
        <v>272</v>
      </c>
      <c r="G1" s="1" t="s">
        <v>274</v>
      </c>
      <c r="H1" s="1" t="s">
        <v>276</v>
      </c>
      <c r="I1" s="1" t="s">
        <v>277</v>
      </c>
      <c r="J1" s="1" t="s">
        <v>437</v>
      </c>
    </row>
    <row r="2">
      <c r="C2" s="44"/>
      <c r="E2" s="45"/>
      <c r="F2" s="45"/>
      <c r="G2" s="45"/>
      <c r="H2" s="45"/>
      <c r="I2" s="45"/>
    </row>
    <row r="3">
      <c r="B3" s="1" t="s">
        <v>339</v>
      </c>
      <c r="C3" s="44">
        <f t="shared" ref="C3:C6" si="1">SUM(E3:I3)</f>
        <v>9</v>
      </c>
      <c r="E3" s="42">
        <v>0.0</v>
      </c>
      <c r="F3" s="42">
        <v>0.0</v>
      </c>
      <c r="G3" s="42">
        <v>0.0</v>
      </c>
      <c r="H3" s="42">
        <v>0.0</v>
      </c>
      <c r="I3" s="42">
        <v>9.0</v>
      </c>
      <c r="J3" s="1">
        <v>162300.0</v>
      </c>
    </row>
    <row r="4">
      <c r="B4" s="1" t="s">
        <v>146</v>
      </c>
      <c r="C4" s="44">
        <f t="shared" si="1"/>
        <v>9</v>
      </c>
      <c r="E4" s="42">
        <v>0.0</v>
      </c>
      <c r="F4" s="42">
        <v>0.0</v>
      </c>
      <c r="G4" s="42">
        <v>0.0</v>
      </c>
      <c r="H4" s="42">
        <v>0.0</v>
      </c>
      <c r="I4" s="42">
        <v>9.0</v>
      </c>
      <c r="J4" s="1">
        <v>189000.0</v>
      </c>
    </row>
    <row r="5">
      <c r="B5" s="1" t="s">
        <v>148</v>
      </c>
      <c r="C5" s="44">
        <f t="shared" si="1"/>
        <v>9</v>
      </c>
      <c r="E5" s="42">
        <v>0.0</v>
      </c>
      <c r="F5" s="42">
        <v>0.0</v>
      </c>
      <c r="G5" s="42">
        <v>0.0</v>
      </c>
      <c r="H5" s="42">
        <v>0.0</v>
      </c>
      <c r="I5" s="42">
        <v>9.0</v>
      </c>
      <c r="J5" s="1">
        <v>217000.0</v>
      </c>
    </row>
    <row r="6">
      <c r="B6" s="4" t="s">
        <v>156</v>
      </c>
      <c r="C6" s="49">
        <f t="shared" si="1"/>
        <v>1</v>
      </c>
      <c r="D6" s="50"/>
      <c r="E6" s="51">
        <v>0.0</v>
      </c>
      <c r="F6" s="51">
        <v>0.0</v>
      </c>
      <c r="G6" s="51">
        <v>0.0</v>
      </c>
      <c r="H6" s="51">
        <v>0.0</v>
      </c>
      <c r="I6" s="51">
        <v>1.0</v>
      </c>
      <c r="J6" s="4">
        <v>252700.0</v>
      </c>
    </row>
    <row r="7">
      <c r="C7" s="44"/>
      <c r="E7" s="45"/>
      <c r="F7" s="45"/>
      <c r="G7" s="45"/>
      <c r="H7" s="45"/>
      <c r="I7" s="45"/>
    </row>
    <row r="8">
      <c r="B8" s="1" t="s">
        <v>172</v>
      </c>
      <c r="C8" s="44">
        <f t="shared" ref="C8:C9" si="2">SUM(E8:I8)</f>
        <v>11</v>
      </c>
      <c r="E8" s="42">
        <v>0.0</v>
      </c>
      <c r="F8" s="42">
        <v>0.0</v>
      </c>
      <c r="G8" s="42">
        <v>0.0</v>
      </c>
      <c r="H8" s="42">
        <v>0.0</v>
      </c>
      <c r="I8" s="42">
        <v>11.0</v>
      </c>
      <c r="J8" s="1">
        <v>195000.0</v>
      </c>
    </row>
    <row r="9">
      <c r="B9" s="1" t="s">
        <v>180</v>
      </c>
      <c r="C9" s="44">
        <f t="shared" si="2"/>
        <v>39</v>
      </c>
      <c r="E9" s="42">
        <v>6.0</v>
      </c>
      <c r="F9" s="42">
        <v>7.0</v>
      </c>
      <c r="G9" s="42">
        <v>7.0</v>
      </c>
      <c r="H9" s="42">
        <v>7.0</v>
      </c>
      <c r="I9" s="42">
        <v>12.0</v>
      </c>
      <c r="J9" s="1">
        <v>225000.0</v>
      </c>
    </row>
    <row r="10">
      <c r="C10" s="44"/>
      <c r="E10" s="45"/>
      <c r="F10" s="45"/>
      <c r="G10" s="45"/>
      <c r="H10" s="45"/>
      <c r="I10" s="45"/>
    </row>
    <row r="11">
      <c r="B11" s="52" t="s">
        <v>359</v>
      </c>
      <c r="C11" s="53">
        <f t="shared" ref="C11:C12" si="3">SUM(E11:I11)</f>
        <v>18</v>
      </c>
      <c r="D11" s="54"/>
      <c r="E11" s="55">
        <v>0.0</v>
      </c>
      <c r="F11" s="55">
        <v>0.0</v>
      </c>
      <c r="G11" s="55">
        <v>0.0</v>
      </c>
      <c r="H11" s="55">
        <v>9.0</v>
      </c>
      <c r="I11" s="55">
        <v>9.0</v>
      </c>
      <c r="J11" s="52">
        <v>277000.0</v>
      </c>
    </row>
    <row r="12">
      <c r="B12" s="8" t="s">
        <v>193</v>
      </c>
      <c r="C12" s="56">
        <f t="shared" si="3"/>
        <v>15</v>
      </c>
      <c r="D12" s="57"/>
      <c r="E12" s="43">
        <v>0.0</v>
      </c>
      <c r="F12" s="43">
        <v>0.0</v>
      </c>
      <c r="G12" s="43">
        <v>0.0</v>
      </c>
      <c r="H12" s="43">
        <v>6.0</v>
      </c>
      <c r="I12" s="43">
        <v>9.0</v>
      </c>
      <c r="J12" s="8">
        <v>261000.0</v>
      </c>
    </row>
    <row r="13">
      <c r="C13" s="44"/>
      <c r="E13" s="45"/>
      <c r="F13" s="45"/>
      <c r="G13" s="45"/>
      <c r="H13" s="45"/>
      <c r="I13" s="45"/>
    </row>
    <row r="14">
      <c r="B14" s="1" t="s">
        <v>369</v>
      </c>
      <c r="C14" s="44">
        <f t="shared" ref="C14:C15" si="4">SUM(E14:I14)</f>
        <v>12</v>
      </c>
      <c r="E14" s="42">
        <v>0.0</v>
      </c>
      <c r="F14" s="42">
        <v>0.0</v>
      </c>
      <c r="G14" s="42">
        <v>0.0</v>
      </c>
      <c r="H14" s="42">
        <v>0.0</v>
      </c>
      <c r="I14" s="42">
        <v>12.0</v>
      </c>
      <c r="J14" s="1">
        <v>188400.0</v>
      </c>
    </row>
    <row r="15">
      <c r="B15" s="1" t="s">
        <v>202</v>
      </c>
      <c r="C15" s="44">
        <f t="shared" si="4"/>
        <v>11</v>
      </c>
      <c r="E15" s="42">
        <v>0.0</v>
      </c>
      <c r="F15" s="42">
        <v>0.0</v>
      </c>
      <c r="G15" s="42">
        <v>0.0</v>
      </c>
      <c r="H15" s="42">
        <v>0.0</v>
      </c>
      <c r="I15" s="42">
        <v>11.0</v>
      </c>
      <c r="J15" s="1">
        <v>242560.0</v>
      </c>
    </row>
    <row r="16">
      <c r="C16" s="44"/>
      <c r="E16" s="45"/>
      <c r="F16" s="45"/>
      <c r="G16" s="45"/>
      <c r="H16" s="45"/>
      <c r="I16" s="45"/>
    </row>
    <row r="17">
      <c r="B17" s="1" t="s">
        <v>203</v>
      </c>
      <c r="C17" s="44">
        <f t="shared" ref="C17:C18" si="5">SUM(E17:I17)</f>
        <v>27</v>
      </c>
      <c r="E17" s="42">
        <v>0.0</v>
      </c>
      <c r="F17" s="42">
        <v>0.0</v>
      </c>
      <c r="G17" s="42">
        <v>6.0</v>
      </c>
      <c r="H17" s="42">
        <v>9.0</v>
      </c>
      <c r="I17" s="42">
        <v>12.0</v>
      </c>
      <c r="J17" s="1">
        <v>218700.0</v>
      </c>
    </row>
    <row r="18">
      <c r="B18" s="1" t="s">
        <v>205</v>
      </c>
      <c r="C18" s="44">
        <f t="shared" si="5"/>
        <v>28</v>
      </c>
      <c r="E18" s="42">
        <v>0.0</v>
      </c>
      <c r="F18" s="42">
        <v>0.0</v>
      </c>
      <c r="G18" s="42">
        <v>6.0</v>
      </c>
      <c r="H18" s="42">
        <v>10.0</v>
      </c>
      <c r="I18" s="42">
        <v>12.0</v>
      </c>
      <c r="J18" s="1">
        <v>222100.0</v>
      </c>
    </row>
    <row r="19">
      <c r="C19" s="44"/>
      <c r="E19" s="45"/>
      <c r="F19" s="45"/>
      <c r="G19" s="45"/>
      <c r="H19" s="45"/>
      <c r="I19" s="45"/>
    </row>
    <row r="20">
      <c r="B20" s="1" t="s">
        <v>214</v>
      </c>
      <c r="C20" s="44">
        <f t="shared" ref="C20:C23" si="6">SUM(E20:I20)</f>
        <v>31</v>
      </c>
      <c r="E20" s="42">
        <v>0.0</v>
      </c>
      <c r="F20" s="42">
        <v>4.0</v>
      </c>
      <c r="G20" s="42">
        <v>7.0</v>
      </c>
      <c r="H20" s="42">
        <v>9.0</v>
      </c>
      <c r="I20" s="42">
        <v>11.0</v>
      </c>
      <c r="J20" s="1">
        <v>249000.0</v>
      </c>
    </row>
    <row r="21">
      <c r="B21" s="1" t="s">
        <v>216</v>
      </c>
      <c r="C21" s="44">
        <f t="shared" si="6"/>
        <v>26</v>
      </c>
      <c r="E21" s="42">
        <v>0.0</v>
      </c>
      <c r="F21" s="42">
        <v>2.0</v>
      </c>
      <c r="G21" s="42">
        <v>3.0</v>
      </c>
      <c r="H21" s="42">
        <v>9.0</v>
      </c>
      <c r="I21" s="42">
        <v>12.0</v>
      </c>
      <c r="J21" s="1">
        <v>198000.0</v>
      </c>
    </row>
    <row r="22">
      <c r="B22" s="3">
        <v>121.0</v>
      </c>
      <c r="C22" s="44">
        <f t="shared" si="6"/>
        <v>25</v>
      </c>
      <c r="E22" s="42">
        <v>0.0</v>
      </c>
      <c r="F22" s="42">
        <v>6.0</v>
      </c>
      <c r="G22" s="42">
        <v>2.0</v>
      </c>
      <c r="H22" s="42">
        <v>6.0</v>
      </c>
      <c r="I22" s="42">
        <v>11.0</v>
      </c>
      <c r="J22" s="1">
        <v>180000.0</v>
      </c>
    </row>
    <row r="23">
      <c r="B23" s="1" t="s">
        <v>217</v>
      </c>
      <c r="C23" s="44">
        <f t="shared" si="6"/>
        <v>32</v>
      </c>
      <c r="E23" s="42">
        <v>0.0</v>
      </c>
      <c r="F23" s="42">
        <v>7.0</v>
      </c>
      <c r="G23" s="42">
        <v>6.0</v>
      </c>
      <c r="H23" s="42">
        <v>10.0</v>
      </c>
      <c r="I23" s="42">
        <v>9.0</v>
      </c>
      <c r="J23" s="1">
        <v>244000.0</v>
      </c>
    </row>
    <row r="24">
      <c r="C24" s="44"/>
      <c r="E24" s="45"/>
      <c r="F24" s="45"/>
      <c r="G24" s="45"/>
      <c r="H24" s="45"/>
      <c r="I24" s="45"/>
    </row>
    <row r="25">
      <c r="B25" s="1" t="s">
        <v>219</v>
      </c>
      <c r="C25" s="44">
        <f t="shared" ref="C25:C26" si="7">SUM(E25:I25)</f>
        <v>20</v>
      </c>
      <c r="E25" s="42">
        <v>0.0</v>
      </c>
      <c r="F25" s="42">
        <v>0.0</v>
      </c>
      <c r="G25" s="42">
        <v>0.0</v>
      </c>
      <c r="H25" s="42">
        <v>9.0</v>
      </c>
      <c r="I25" s="42">
        <v>11.0</v>
      </c>
      <c r="J25" s="1">
        <v>209900.0</v>
      </c>
    </row>
    <row r="26">
      <c r="B26" s="1" t="s">
        <v>221</v>
      </c>
      <c r="C26" s="44">
        <f t="shared" si="7"/>
        <v>21</v>
      </c>
      <c r="E26" s="42">
        <v>0.0</v>
      </c>
      <c r="F26" s="42">
        <v>0.0</v>
      </c>
      <c r="G26" s="42">
        <v>0.0</v>
      </c>
      <c r="H26" s="42">
        <v>10.0</v>
      </c>
      <c r="I26" s="42">
        <v>11.0</v>
      </c>
      <c r="J26" s="1">
        <v>186500.0</v>
      </c>
    </row>
    <row r="27">
      <c r="E27" s="10">
        <f>sum(E2:E26)*6</f>
        <v>36</v>
      </c>
      <c r="F27" s="10">
        <f>sum(F2:F26)*8</f>
        <v>208</v>
      </c>
      <c r="G27" s="10">
        <f>sum(G2:G26)*10</f>
        <v>370</v>
      </c>
      <c r="H27" s="10">
        <f t="shared" ref="H27:I27" si="8">sum(H2:H26)*12</f>
        <v>1128</v>
      </c>
      <c r="I27" s="10">
        <f t="shared" si="8"/>
        <v>2172</v>
      </c>
    </row>
    <row r="29">
      <c r="C29" s="1" t="s">
        <v>450</v>
      </c>
      <c r="D29" s="1">
        <v>83.0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6.38"/>
    <col customWidth="1" min="3" max="3" width="18.38"/>
    <col customWidth="1" min="4" max="4" width="13.5"/>
    <col customWidth="1" min="5" max="5" width="26.38"/>
    <col customWidth="1" min="6" max="6" width="17.0"/>
    <col customWidth="1" min="7" max="7" width="29.63"/>
    <col customWidth="1" min="8" max="9" width="28.75"/>
    <col customWidth="1" min="10" max="10" width="17.38"/>
    <col customWidth="1" min="11" max="11" width="15.63"/>
    <col customWidth="1" min="12" max="12" width="30.63"/>
    <col customWidth="1" min="13" max="13" width="16.5"/>
  </cols>
  <sheetData>
    <row r="1" ht="22.5" customHeight="1">
      <c r="B1" s="11" t="s">
        <v>453</v>
      </c>
      <c r="C1" s="11" t="s">
        <v>321</v>
      </c>
      <c r="D1" s="11" t="s">
        <v>454</v>
      </c>
      <c r="E1" s="11" t="s">
        <v>455</v>
      </c>
      <c r="F1" s="11" t="s">
        <v>456</v>
      </c>
      <c r="G1" s="11" t="s">
        <v>457</v>
      </c>
      <c r="H1" s="11" t="s">
        <v>458</v>
      </c>
      <c r="I1" s="59" t="s">
        <v>459</v>
      </c>
      <c r="J1" s="11" t="s">
        <v>462</v>
      </c>
      <c r="K1" s="11" t="s">
        <v>464</v>
      </c>
      <c r="L1" s="11" t="s">
        <v>468</v>
      </c>
      <c r="M1" s="11" t="s">
        <v>469</v>
      </c>
    </row>
    <row r="2" ht="22.5" hidden="1" customHeight="1">
      <c r="B2" s="62" t="s">
        <v>470</v>
      </c>
      <c r="C2" s="62" t="s">
        <v>472</v>
      </c>
      <c r="D2" s="63" t="s">
        <v>473</v>
      </c>
      <c r="E2" s="63" t="s">
        <v>119</v>
      </c>
      <c r="F2" s="62" t="s">
        <v>475</v>
      </c>
      <c r="G2" s="63" t="s">
        <v>479</v>
      </c>
      <c r="H2" s="63" t="s">
        <v>480</v>
      </c>
      <c r="I2" s="66"/>
      <c r="J2" s="62" t="s">
        <v>482</v>
      </c>
      <c r="K2" s="62" t="s">
        <v>19</v>
      </c>
      <c r="L2" s="63" t="s">
        <v>484</v>
      </c>
      <c r="M2" s="67"/>
    </row>
    <row r="3" ht="22.5" hidden="1" customHeight="1">
      <c r="B3" s="62" t="s">
        <v>470</v>
      </c>
      <c r="C3" s="62" t="s">
        <v>472</v>
      </c>
      <c r="D3" s="63" t="s">
        <v>513</v>
      </c>
      <c r="E3" s="63" t="s">
        <v>119</v>
      </c>
      <c r="F3" s="62" t="s">
        <v>515</v>
      </c>
      <c r="G3" s="63" t="s">
        <v>516</v>
      </c>
      <c r="H3" s="63" t="s">
        <v>517</v>
      </c>
      <c r="I3" s="66"/>
      <c r="J3" s="62" t="s">
        <v>482</v>
      </c>
      <c r="K3" s="62" t="s">
        <v>18</v>
      </c>
      <c r="L3" s="63" t="s">
        <v>520</v>
      </c>
      <c r="M3" s="70" t="s">
        <v>522</v>
      </c>
    </row>
    <row r="4" ht="22.5" customHeight="1">
      <c r="B4" s="17" t="s">
        <v>470</v>
      </c>
      <c r="C4" s="17" t="s">
        <v>472</v>
      </c>
      <c r="D4" s="15" t="s">
        <v>532</v>
      </c>
      <c r="E4" s="15" t="s">
        <v>327</v>
      </c>
      <c r="F4" s="17" t="s">
        <v>515</v>
      </c>
      <c r="G4" s="15" t="s">
        <v>533</v>
      </c>
      <c r="H4" s="15" t="s">
        <v>535</v>
      </c>
      <c r="I4" s="71"/>
      <c r="J4" s="17" t="s">
        <v>539</v>
      </c>
      <c r="K4" s="17" t="s">
        <v>18</v>
      </c>
      <c r="L4" s="15" t="s">
        <v>541</v>
      </c>
      <c r="M4" s="72" t="s">
        <v>543</v>
      </c>
    </row>
    <row r="5" ht="22.5" customHeight="1">
      <c r="B5" s="17" t="s">
        <v>470</v>
      </c>
      <c r="C5" s="17" t="s">
        <v>472</v>
      </c>
      <c r="D5" s="15" t="s">
        <v>548</v>
      </c>
      <c r="E5" s="15" t="s">
        <v>327</v>
      </c>
      <c r="F5" s="17" t="s">
        <v>515</v>
      </c>
      <c r="G5" s="15" t="s">
        <v>549</v>
      </c>
      <c r="H5" s="15" t="s">
        <v>550</v>
      </c>
      <c r="I5" s="71"/>
      <c r="J5" s="17" t="s">
        <v>539</v>
      </c>
      <c r="K5" s="17" t="s">
        <v>18</v>
      </c>
      <c r="L5" s="15" t="s">
        <v>552</v>
      </c>
      <c r="M5" s="72" t="s">
        <v>522</v>
      </c>
    </row>
    <row r="6" ht="22.5" customHeight="1">
      <c r="B6" s="17" t="s">
        <v>470</v>
      </c>
      <c r="C6" s="17" t="s">
        <v>472</v>
      </c>
      <c r="D6" s="15" t="s">
        <v>562</v>
      </c>
      <c r="E6" s="15" t="s">
        <v>563</v>
      </c>
      <c r="F6" s="17" t="s">
        <v>564</v>
      </c>
      <c r="G6" s="15" t="s">
        <v>565</v>
      </c>
      <c r="H6" s="15" t="s">
        <v>566</v>
      </c>
      <c r="I6" s="71"/>
      <c r="J6" s="17" t="s">
        <v>539</v>
      </c>
      <c r="K6" s="17" t="s">
        <v>18</v>
      </c>
      <c r="L6" s="15" t="s">
        <v>552</v>
      </c>
      <c r="M6" s="72" t="s">
        <v>543</v>
      </c>
    </row>
    <row r="7" ht="22.5" customHeight="1">
      <c r="B7" s="17" t="s">
        <v>470</v>
      </c>
      <c r="C7" s="17" t="s">
        <v>472</v>
      </c>
      <c r="D7" s="15" t="s">
        <v>571</v>
      </c>
      <c r="E7" s="15" t="s">
        <v>572</v>
      </c>
      <c r="F7" s="17" t="s">
        <v>515</v>
      </c>
      <c r="G7" s="15" t="s">
        <v>573</v>
      </c>
      <c r="H7" s="15" t="s">
        <v>574</v>
      </c>
      <c r="I7" s="71"/>
      <c r="J7" s="17" t="s">
        <v>539</v>
      </c>
      <c r="K7" s="17" t="s">
        <v>18</v>
      </c>
      <c r="L7" s="15" t="s">
        <v>575</v>
      </c>
      <c r="M7" s="72" t="s">
        <v>522</v>
      </c>
    </row>
    <row r="8" ht="22.5" hidden="1" customHeight="1">
      <c r="B8" s="62" t="s">
        <v>579</v>
      </c>
      <c r="C8" s="62" t="s">
        <v>472</v>
      </c>
      <c r="D8" s="63" t="s">
        <v>580</v>
      </c>
      <c r="E8" s="63" t="s">
        <v>119</v>
      </c>
      <c r="F8" s="62" t="s">
        <v>564</v>
      </c>
      <c r="G8" s="63" t="s">
        <v>582</v>
      </c>
      <c r="H8" s="63" t="s">
        <v>584</v>
      </c>
      <c r="I8" s="66"/>
      <c r="J8" s="62" t="s">
        <v>482</v>
      </c>
      <c r="K8" s="62" t="s">
        <v>19</v>
      </c>
      <c r="L8" s="63" t="s">
        <v>520</v>
      </c>
      <c r="M8" s="67"/>
    </row>
    <row r="9" ht="22.5" customHeight="1">
      <c r="B9" s="17" t="s">
        <v>579</v>
      </c>
      <c r="C9" s="17" t="s">
        <v>472</v>
      </c>
      <c r="D9" s="15" t="s">
        <v>587</v>
      </c>
      <c r="E9" s="15" t="s">
        <v>179</v>
      </c>
      <c r="F9" s="17" t="s">
        <v>564</v>
      </c>
      <c r="G9" s="15" t="s">
        <v>588</v>
      </c>
      <c r="H9" s="15" t="s">
        <v>589</v>
      </c>
      <c r="I9" s="71"/>
      <c r="J9" s="17" t="s">
        <v>539</v>
      </c>
      <c r="K9" s="17" t="s">
        <v>19</v>
      </c>
      <c r="L9" s="15" t="s">
        <v>590</v>
      </c>
    </row>
    <row r="10" ht="22.5" customHeight="1">
      <c r="B10" s="17" t="s">
        <v>579</v>
      </c>
      <c r="C10" s="17" t="s">
        <v>472</v>
      </c>
      <c r="D10" s="15" t="s">
        <v>610</v>
      </c>
      <c r="E10" s="15" t="s">
        <v>179</v>
      </c>
      <c r="F10" s="17" t="s">
        <v>564</v>
      </c>
      <c r="G10" s="15" t="s">
        <v>615</v>
      </c>
      <c r="H10" s="15" t="s">
        <v>616</v>
      </c>
      <c r="I10" s="71"/>
      <c r="J10" s="17" t="s">
        <v>539</v>
      </c>
      <c r="K10" s="17" t="s">
        <v>19</v>
      </c>
      <c r="L10" s="15" t="s">
        <v>552</v>
      </c>
    </row>
    <row r="11" ht="22.5" customHeight="1">
      <c r="B11" s="17" t="s">
        <v>579</v>
      </c>
      <c r="C11" s="17" t="s">
        <v>472</v>
      </c>
      <c r="D11" s="15" t="s">
        <v>624</v>
      </c>
      <c r="E11" s="15" t="s">
        <v>179</v>
      </c>
      <c r="F11" s="17" t="s">
        <v>564</v>
      </c>
      <c r="G11" s="15" t="s">
        <v>625</v>
      </c>
      <c r="H11" s="15" t="s">
        <v>626</v>
      </c>
      <c r="I11" s="71"/>
      <c r="J11" s="17" t="s">
        <v>539</v>
      </c>
      <c r="K11" s="17" t="s">
        <v>18</v>
      </c>
      <c r="L11" s="15" t="s">
        <v>552</v>
      </c>
      <c r="M11" s="72" t="s">
        <v>543</v>
      </c>
    </row>
    <row r="12" ht="22.5" customHeight="1">
      <c r="B12" s="17" t="s">
        <v>579</v>
      </c>
      <c r="C12" s="17" t="s">
        <v>472</v>
      </c>
      <c r="D12" s="15" t="s">
        <v>627</v>
      </c>
      <c r="E12" s="15" t="s">
        <v>327</v>
      </c>
      <c r="F12" s="17" t="s">
        <v>564</v>
      </c>
      <c r="G12" s="15" t="s">
        <v>628</v>
      </c>
      <c r="H12" s="15" t="s">
        <v>616</v>
      </c>
      <c r="I12" s="71"/>
      <c r="J12" s="17" t="s">
        <v>539</v>
      </c>
      <c r="K12" s="17" t="s">
        <v>19</v>
      </c>
      <c r="L12" s="15" t="s">
        <v>552</v>
      </c>
    </row>
    <row r="13" ht="22.5" customHeight="1">
      <c r="B13" s="17" t="s">
        <v>579</v>
      </c>
      <c r="C13" s="17" t="s">
        <v>472</v>
      </c>
      <c r="D13" s="15" t="s">
        <v>644</v>
      </c>
      <c r="E13" s="15" t="s">
        <v>327</v>
      </c>
      <c r="F13" s="17" t="s">
        <v>564</v>
      </c>
      <c r="G13" s="15" t="s">
        <v>646</v>
      </c>
      <c r="H13" s="15" t="s">
        <v>648</v>
      </c>
      <c r="I13" s="71"/>
      <c r="J13" s="17" t="s">
        <v>539</v>
      </c>
      <c r="K13" s="17" t="s">
        <v>19</v>
      </c>
      <c r="L13" s="15" t="s">
        <v>590</v>
      </c>
    </row>
    <row r="14" ht="22.5" customHeight="1">
      <c r="B14" s="17" t="s">
        <v>579</v>
      </c>
      <c r="C14" s="17" t="s">
        <v>472</v>
      </c>
      <c r="D14" s="15" t="s">
        <v>666</v>
      </c>
      <c r="E14" s="15" t="s">
        <v>327</v>
      </c>
      <c r="F14" s="17" t="s">
        <v>475</v>
      </c>
      <c r="G14" s="15" t="s">
        <v>668</v>
      </c>
      <c r="H14" s="15" t="s">
        <v>648</v>
      </c>
      <c r="I14" s="71"/>
      <c r="J14" s="17" t="s">
        <v>539</v>
      </c>
      <c r="K14" s="17" t="s">
        <v>19</v>
      </c>
      <c r="L14" s="15" t="s">
        <v>552</v>
      </c>
    </row>
    <row r="15" ht="22.5" customHeight="1">
      <c r="B15" s="17" t="s">
        <v>579</v>
      </c>
      <c r="C15" s="17" t="s">
        <v>472</v>
      </c>
      <c r="D15" s="15" t="s">
        <v>670</v>
      </c>
      <c r="E15" s="15" t="s">
        <v>327</v>
      </c>
      <c r="F15" s="17" t="s">
        <v>475</v>
      </c>
      <c r="G15" s="15" t="s">
        <v>671</v>
      </c>
      <c r="H15" s="15" t="s">
        <v>648</v>
      </c>
      <c r="I15" s="71"/>
      <c r="J15" s="17" t="s">
        <v>539</v>
      </c>
      <c r="K15" s="17" t="s">
        <v>19</v>
      </c>
      <c r="L15" s="15" t="s">
        <v>552</v>
      </c>
    </row>
    <row r="16" ht="22.5" customHeight="1">
      <c r="B16" s="17" t="s">
        <v>579</v>
      </c>
      <c r="C16" s="17" t="s">
        <v>472</v>
      </c>
      <c r="D16" s="15" t="s">
        <v>532</v>
      </c>
      <c r="E16" s="15" t="s">
        <v>327</v>
      </c>
      <c r="F16" s="17" t="s">
        <v>515</v>
      </c>
      <c r="G16" s="15" t="s">
        <v>672</v>
      </c>
      <c r="H16" s="15" t="s">
        <v>535</v>
      </c>
      <c r="I16" s="71"/>
      <c r="J16" s="17" t="s">
        <v>539</v>
      </c>
      <c r="K16" s="17" t="s">
        <v>18</v>
      </c>
      <c r="L16" s="15" t="s">
        <v>541</v>
      </c>
      <c r="M16" s="72" t="s">
        <v>543</v>
      </c>
    </row>
    <row r="17" ht="22.5" customHeight="1">
      <c r="B17" s="17" t="s">
        <v>579</v>
      </c>
      <c r="C17" s="17" t="s">
        <v>472</v>
      </c>
      <c r="D17" s="15" t="s">
        <v>548</v>
      </c>
      <c r="E17" s="15" t="s">
        <v>327</v>
      </c>
      <c r="F17" s="17" t="s">
        <v>515</v>
      </c>
      <c r="G17" s="15" t="s">
        <v>673</v>
      </c>
      <c r="H17" s="15" t="s">
        <v>550</v>
      </c>
      <c r="I17" s="17" t="s">
        <v>674</v>
      </c>
      <c r="J17" s="17" t="s">
        <v>675</v>
      </c>
      <c r="K17" s="17" t="s">
        <v>18</v>
      </c>
      <c r="L17" s="15" t="s">
        <v>552</v>
      </c>
      <c r="M17" s="72" t="s">
        <v>543</v>
      </c>
    </row>
    <row r="18" ht="22.5" hidden="1" customHeight="1">
      <c r="B18" s="62" t="s">
        <v>579</v>
      </c>
      <c r="C18" s="62" t="s">
        <v>472</v>
      </c>
      <c r="D18" s="63" t="s">
        <v>676</v>
      </c>
      <c r="E18" s="63" t="s">
        <v>563</v>
      </c>
      <c r="F18" s="62" t="s">
        <v>564</v>
      </c>
      <c r="G18" s="63" t="s">
        <v>677</v>
      </c>
      <c r="H18" s="63" t="s">
        <v>678</v>
      </c>
      <c r="I18" s="62" t="s">
        <v>679</v>
      </c>
      <c r="J18" s="62" t="s">
        <v>482</v>
      </c>
      <c r="K18" s="62" t="s">
        <v>19</v>
      </c>
      <c r="L18" s="63" t="s">
        <v>680</v>
      </c>
      <c r="M18" s="67"/>
    </row>
    <row r="19" ht="22.5" customHeight="1">
      <c r="B19" s="17" t="s">
        <v>579</v>
      </c>
      <c r="C19" s="17" t="s">
        <v>472</v>
      </c>
      <c r="D19" s="15" t="s">
        <v>681</v>
      </c>
      <c r="E19" s="15" t="s">
        <v>563</v>
      </c>
      <c r="F19" s="17" t="s">
        <v>475</v>
      </c>
      <c r="G19" s="15" t="s">
        <v>682</v>
      </c>
      <c r="H19" s="15" t="s">
        <v>584</v>
      </c>
      <c r="I19" s="71"/>
      <c r="J19" s="17" t="s">
        <v>539</v>
      </c>
      <c r="K19" s="17" t="s">
        <v>19</v>
      </c>
    </row>
    <row r="20" ht="22.5" customHeight="1">
      <c r="B20" s="17" t="s">
        <v>579</v>
      </c>
      <c r="C20" s="17" t="s">
        <v>472</v>
      </c>
      <c r="D20" s="15" t="s">
        <v>683</v>
      </c>
      <c r="E20" s="15" t="s">
        <v>563</v>
      </c>
      <c r="F20" s="17" t="s">
        <v>515</v>
      </c>
      <c r="G20" s="15" t="s">
        <v>684</v>
      </c>
      <c r="H20" s="15" t="s">
        <v>535</v>
      </c>
      <c r="I20" s="17" t="s">
        <v>630</v>
      </c>
      <c r="J20" s="17" t="s">
        <v>539</v>
      </c>
      <c r="K20" s="17" t="s">
        <v>18</v>
      </c>
    </row>
    <row r="21" ht="22.5" customHeight="1">
      <c r="B21" s="17" t="s">
        <v>579</v>
      </c>
      <c r="C21" s="17" t="s">
        <v>472</v>
      </c>
      <c r="D21" s="15" t="s">
        <v>685</v>
      </c>
      <c r="E21" s="15" t="s">
        <v>563</v>
      </c>
      <c r="F21" s="17" t="s">
        <v>564</v>
      </c>
      <c r="G21" s="15" t="s">
        <v>686</v>
      </c>
      <c r="H21" s="15" t="s">
        <v>535</v>
      </c>
      <c r="I21" s="71"/>
      <c r="J21" s="17" t="s">
        <v>539</v>
      </c>
      <c r="K21" s="17" t="s">
        <v>19</v>
      </c>
    </row>
    <row r="22" ht="22.5" customHeight="1">
      <c r="B22" s="17" t="s">
        <v>579</v>
      </c>
      <c r="C22" s="17" t="s">
        <v>472</v>
      </c>
      <c r="D22" s="15" t="s">
        <v>562</v>
      </c>
      <c r="E22" s="15" t="s">
        <v>563</v>
      </c>
      <c r="F22" s="17" t="s">
        <v>515</v>
      </c>
      <c r="G22" s="15" t="s">
        <v>687</v>
      </c>
      <c r="H22" s="15" t="s">
        <v>688</v>
      </c>
      <c r="I22" s="17" t="s">
        <v>630</v>
      </c>
      <c r="J22" s="17" t="s">
        <v>675</v>
      </c>
      <c r="K22" s="17" t="s">
        <v>18</v>
      </c>
      <c r="M22" s="72" t="s">
        <v>543</v>
      </c>
    </row>
    <row r="23" ht="22.5" customHeight="1">
      <c r="B23" s="17" t="s">
        <v>579</v>
      </c>
      <c r="C23" s="17" t="s">
        <v>472</v>
      </c>
      <c r="D23" s="15" t="s">
        <v>692</v>
      </c>
      <c r="E23" s="15" t="s">
        <v>572</v>
      </c>
      <c r="F23" s="17" t="s">
        <v>564</v>
      </c>
      <c r="G23" s="15" t="s">
        <v>693</v>
      </c>
      <c r="H23" s="15" t="s">
        <v>584</v>
      </c>
      <c r="I23" s="71"/>
      <c r="J23" s="17" t="s">
        <v>539</v>
      </c>
      <c r="K23" s="17" t="s">
        <v>19</v>
      </c>
    </row>
    <row r="24" ht="22.5" customHeight="1">
      <c r="B24" s="17" t="s">
        <v>579</v>
      </c>
      <c r="C24" s="17" t="s">
        <v>472</v>
      </c>
      <c r="D24" s="15" t="s">
        <v>694</v>
      </c>
      <c r="E24" s="15" t="s">
        <v>572</v>
      </c>
      <c r="F24" s="17" t="s">
        <v>515</v>
      </c>
      <c r="G24" s="15" t="s">
        <v>695</v>
      </c>
      <c r="H24" s="15" t="s">
        <v>84</v>
      </c>
      <c r="I24" s="71"/>
      <c r="J24" s="17" t="s">
        <v>539</v>
      </c>
      <c r="K24" s="17" t="s">
        <v>18</v>
      </c>
    </row>
    <row r="25" ht="22.5" customHeight="1">
      <c r="B25" s="17" t="s">
        <v>579</v>
      </c>
      <c r="C25" s="17" t="s">
        <v>472</v>
      </c>
      <c r="D25" s="15" t="s">
        <v>571</v>
      </c>
      <c r="E25" s="15" t="s">
        <v>572</v>
      </c>
      <c r="F25" s="17" t="s">
        <v>515</v>
      </c>
      <c r="G25" s="15" t="s">
        <v>696</v>
      </c>
      <c r="H25" s="15" t="s">
        <v>697</v>
      </c>
      <c r="I25" s="17" t="s">
        <v>76</v>
      </c>
      <c r="J25" s="17" t="s">
        <v>675</v>
      </c>
      <c r="K25" s="17" t="s">
        <v>18</v>
      </c>
      <c r="M25" s="72" t="s">
        <v>543</v>
      </c>
    </row>
    <row r="26" ht="22.5" customHeight="1">
      <c r="B26" s="17" t="s">
        <v>700</v>
      </c>
      <c r="C26" s="17" t="s">
        <v>701</v>
      </c>
      <c r="D26" s="15" t="s">
        <v>702</v>
      </c>
      <c r="E26" s="15" t="s">
        <v>563</v>
      </c>
      <c r="F26" s="17" t="s">
        <v>515</v>
      </c>
      <c r="G26" s="15" t="s">
        <v>703</v>
      </c>
      <c r="H26" s="15" t="s">
        <v>704</v>
      </c>
      <c r="I26" s="71"/>
      <c r="J26" s="17" t="s">
        <v>539</v>
      </c>
      <c r="K26" s="17" t="s">
        <v>18</v>
      </c>
    </row>
    <row r="27" ht="22.5" customHeight="1">
      <c r="B27" s="17" t="s">
        <v>700</v>
      </c>
      <c r="C27" s="17" t="s">
        <v>701</v>
      </c>
      <c r="D27" s="15" t="s">
        <v>705</v>
      </c>
      <c r="E27" s="15" t="s">
        <v>706</v>
      </c>
      <c r="F27" s="17" t="s">
        <v>515</v>
      </c>
      <c r="G27" s="15" t="s">
        <v>707</v>
      </c>
      <c r="H27" s="15" t="s">
        <v>708</v>
      </c>
      <c r="I27" s="71"/>
      <c r="J27" s="17" t="s">
        <v>539</v>
      </c>
      <c r="K27" s="17" t="s">
        <v>18</v>
      </c>
      <c r="L27" s="15" t="s">
        <v>709</v>
      </c>
    </row>
    <row r="28" ht="22.5" customHeight="1">
      <c r="B28" s="17" t="s">
        <v>700</v>
      </c>
      <c r="C28" s="17" t="s">
        <v>710</v>
      </c>
      <c r="D28" s="15" t="s">
        <v>711</v>
      </c>
      <c r="E28" s="15" t="s">
        <v>706</v>
      </c>
      <c r="F28" s="17" t="s">
        <v>475</v>
      </c>
      <c r="G28" s="15" t="s">
        <v>712</v>
      </c>
      <c r="H28" s="15" t="s">
        <v>584</v>
      </c>
      <c r="I28" s="71"/>
      <c r="J28" s="17" t="s">
        <v>539</v>
      </c>
      <c r="K28" s="17" t="s">
        <v>18</v>
      </c>
      <c r="L28" s="15" t="s">
        <v>600</v>
      </c>
    </row>
    <row r="29" ht="22.5" customHeight="1">
      <c r="B29" s="17" t="s">
        <v>700</v>
      </c>
      <c r="C29" s="17" t="s">
        <v>710</v>
      </c>
      <c r="D29" s="15" t="s">
        <v>713</v>
      </c>
      <c r="E29" s="15" t="s">
        <v>714</v>
      </c>
      <c r="F29" s="17" t="s">
        <v>475</v>
      </c>
      <c r="G29" s="15" t="s">
        <v>715</v>
      </c>
      <c r="H29" s="15" t="s">
        <v>704</v>
      </c>
      <c r="I29" s="71"/>
      <c r="J29" s="17" t="s">
        <v>539</v>
      </c>
      <c r="K29" s="17" t="s">
        <v>18</v>
      </c>
    </row>
    <row r="30" ht="22.5" customHeight="1">
      <c r="B30" s="17" t="s">
        <v>700</v>
      </c>
      <c r="C30" s="17" t="s">
        <v>710</v>
      </c>
      <c r="D30" s="15" t="s">
        <v>716</v>
      </c>
      <c r="E30" s="15" t="s">
        <v>717</v>
      </c>
      <c r="F30" s="17" t="s">
        <v>564</v>
      </c>
      <c r="G30" s="15" t="s">
        <v>718</v>
      </c>
      <c r="H30" s="15" t="s">
        <v>719</v>
      </c>
      <c r="I30" s="71"/>
      <c r="J30" s="17" t="s">
        <v>539</v>
      </c>
      <c r="K30" s="17" t="s">
        <v>18</v>
      </c>
    </row>
    <row r="31" ht="22.5" customHeight="1">
      <c r="B31" s="17" t="s">
        <v>700</v>
      </c>
      <c r="C31" s="17" t="s">
        <v>710</v>
      </c>
      <c r="D31" s="15" t="s">
        <v>720</v>
      </c>
      <c r="E31" s="15" t="s">
        <v>327</v>
      </c>
      <c r="F31" s="17" t="s">
        <v>564</v>
      </c>
      <c r="G31" s="15" t="s">
        <v>721</v>
      </c>
      <c r="H31" s="15" t="s">
        <v>722</v>
      </c>
      <c r="I31" s="71"/>
      <c r="J31" s="17" t="s">
        <v>539</v>
      </c>
      <c r="K31" s="17" t="s">
        <v>18</v>
      </c>
      <c r="L31" s="15" t="s">
        <v>541</v>
      </c>
      <c r="M31" s="15" t="s">
        <v>543</v>
      </c>
    </row>
    <row r="32" ht="22.5" customHeight="1">
      <c r="B32" s="17" t="s">
        <v>700</v>
      </c>
      <c r="C32" s="17" t="s">
        <v>710</v>
      </c>
      <c r="D32" s="15" t="s">
        <v>723</v>
      </c>
      <c r="E32" s="15" t="s">
        <v>179</v>
      </c>
      <c r="F32" s="17" t="s">
        <v>564</v>
      </c>
      <c r="G32" s="15" t="s">
        <v>724</v>
      </c>
      <c r="H32" s="15" t="s">
        <v>725</v>
      </c>
      <c r="I32" s="71"/>
      <c r="J32" s="17" t="s">
        <v>539</v>
      </c>
      <c r="K32" s="17" t="s">
        <v>18</v>
      </c>
      <c r="L32" s="15" t="s">
        <v>600</v>
      </c>
    </row>
    <row r="33" ht="22.5" hidden="1" customHeight="1">
      <c r="B33" s="62" t="s">
        <v>700</v>
      </c>
      <c r="C33" s="62" t="s">
        <v>726</v>
      </c>
      <c r="D33" s="63" t="s">
        <v>727</v>
      </c>
      <c r="E33" s="63" t="s">
        <v>179</v>
      </c>
      <c r="F33" s="62" t="s">
        <v>515</v>
      </c>
      <c r="G33" s="63" t="s">
        <v>728</v>
      </c>
      <c r="H33" s="63" t="s">
        <v>729</v>
      </c>
      <c r="I33" s="66"/>
      <c r="J33" s="62" t="s">
        <v>482</v>
      </c>
      <c r="K33" s="62" t="s">
        <v>18</v>
      </c>
      <c r="L33" s="63" t="s">
        <v>730</v>
      </c>
      <c r="M33" s="67"/>
    </row>
    <row r="34" ht="22.5" customHeight="1">
      <c r="B34" s="17" t="s">
        <v>700</v>
      </c>
      <c r="C34" s="17" t="s">
        <v>726</v>
      </c>
      <c r="D34" s="15" t="s">
        <v>731</v>
      </c>
      <c r="E34" s="15" t="s">
        <v>563</v>
      </c>
      <c r="F34" s="17" t="s">
        <v>515</v>
      </c>
      <c r="G34" s="15" t="s">
        <v>732</v>
      </c>
      <c r="H34" s="15" t="s">
        <v>733</v>
      </c>
      <c r="I34" s="71"/>
      <c r="J34" s="17" t="s">
        <v>539</v>
      </c>
      <c r="K34" s="17" t="s">
        <v>18</v>
      </c>
      <c r="L34" s="15" t="s">
        <v>734</v>
      </c>
    </row>
    <row r="35" ht="22.5" hidden="1" customHeight="1">
      <c r="B35" s="62" t="s">
        <v>735</v>
      </c>
      <c r="C35" s="62" t="s">
        <v>701</v>
      </c>
      <c r="D35" s="63" t="s">
        <v>736</v>
      </c>
      <c r="E35" s="63" t="s">
        <v>119</v>
      </c>
      <c r="F35" s="62" t="s">
        <v>475</v>
      </c>
      <c r="G35" s="63" t="s">
        <v>737</v>
      </c>
      <c r="H35" s="63" t="s">
        <v>738</v>
      </c>
      <c r="I35" s="62" t="s">
        <v>739</v>
      </c>
      <c r="J35" s="62" t="s">
        <v>482</v>
      </c>
      <c r="K35" s="62" t="s">
        <v>18</v>
      </c>
      <c r="L35" s="63" t="s">
        <v>162</v>
      </c>
      <c r="M35" s="67"/>
    </row>
    <row r="36" ht="22.5" hidden="1" customHeight="1">
      <c r="B36" s="62" t="s">
        <v>735</v>
      </c>
      <c r="C36" s="62" t="s">
        <v>701</v>
      </c>
      <c r="D36" s="63" t="s">
        <v>740</v>
      </c>
      <c r="E36" s="63" t="s">
        <v>572</v>
      </c>
      <c r="F36" s="62" t="s">
        <v>472</v>
      </c>
      <c r="G36" s="63" t="s">
        <v>741</v>
      </c>
      <c r="H36" s="63" t="s">
        <v>742</v>
      </c>
      <c r="I36" s="66"/>
      <c r="J36" s="62" t="s">
        <v>482</v>
      </c>
      <c r="K36" s="62" t="s">
        <v>18</v>
      </c>
      <c r="L36" s="63" t="s">
        <v>743</v>
      </c>
      <c r="M36" s="67"/>
    </row>
    <row r="37" ht="22.5" customHeight="1">
      <c r="B37" s="80" t="s">
        <v>735</v>
      </c>
      <c r="C37" s="80" t="s">
        <v>701</v>
      </c>
      <c r="D37" s="81" t="s">
        <v>744</v>
      </c>
      <c r="E37" s="81" t="s">
        <v>745</v>
      </c>
      <c r="F37" s="80" t="s">
        <v>746</v>
      </c>
      <c r="G37" s="81" t="s">
        <v>747</v>
      </c>
      <c r="H37" s="81" t="s">
        <v>748</v>
      </c>
      <c r="I37" s="82"/>
      <c r="J37" s="80" t="s">
        <v>539</v>
      </c>
      <c r="K37" s="80" t="s">
        <v>18</v>
      </c>
      <c r="L37" s="81" t="s">
        <v>749</v>
      </c>
      <c r="M37" s="83"/>
    </row>
    <row r="38" ht="22.5" hidden="1" customHeight="1">
      <c r="B38" s="62" t="s">
        <v>735</v>
      </c>
      <c r="C38" s="62" t="s">
        <v>701</v>
      </c>
      <c r="D38" s="63" t="s">
        <v>750</v>
      </c>
      <c r="E38" s="63" t="s">
        <v>327</v>
      </c>
      <c r="F38" s="62" t="s">
        <v>515</v>
      </c>
      <c r="G38" s="63" t="s">
        <v>751</v>
      </c>
      <c r="H38" s="63" t="s">
        <v>752</v>
      </c>
      <c r="I38" s="62" t="s">
        <v>674</v>
      </c>
      <c r="J38" s="62" t="s">
        <v>482</v>
      </c>
      <c r="K38" s="62" t="s">
        <v>18</v>
      </c>
      <c r="L38" s="63" t="s">
        <v>753</v>
      </c>
      <c r="M38" s="67"/>
    </row>
    <row r="39" ht="22.5" customHeight="1">
      <c r="B39" s="80" t="s">
        <v>735</v>
      </c>
      <c r="C39" s="80" t="s">
        <v>701</v>
      </c>
      <c r="D39" s="81" t="s">
        <v>754</v>
      </c>
      <c r="E39" s="81" t="s">
        <v>563</v>
      </c>
      <c r="F39" s="80" t="s">
        <v>475</v>
      </c>
      <c r="G39" s="81" t="s">
        <v>755</v>
      </c>
      <c r="H39" s="81" t="s">
        <v>756</v>
      </c>
      <c r="I39" s="82"/>
      <c r="J39" s="80" t="s">
        <v>539</v>
      </c>
      <c r="K39" s="80" t="s">
        <v>18</v>
      </c>
      <c r="L39" s="81" t="s">
        <v>757</v>
      </c>
      <c r="M39" s="83"/>
    </row>
    <row r="40" ht="22.5" customHeight="1">
      <c r="B40" s="80" t="s">
        <v>735</v>
      </c>
      <c r="C40" s="80" t="s">
        <v>701</v>
      </c>
      <c r="D40" s="81" t="s">
        <v>758</v>
      </c>
      <c r="E40" s="81" t="s">
        <v>717</v>
      </c>
      <c r="F40" s="80" t="s">
        <v>564</v>
      </c>
      <c r="G40" s="81" t="s">
        <v>759</v>
      </c>
      <c r="H40" s="81" t="s">
        <v>760</v>
      </c>
      <c r="I40" s="80" t="s">
        <v>761</v>
      </c>
      <c r="J40" s="80" t="s">
        <v>539</v>
      </c>
      <c r="K40" s="80" t="s">
        <v>18</v>
      </c>
      <c r="L40" s="83"/>
      <c r="M40" s="83"/>
    </row>
    <row r="41" ht="22.5" customHeight="1">
      <c r="B41" s="80" t="s">
        <v>735</v>
      </c>
      <c r="C41" s="80" t="s">
        <v>701</v>
      </c>
      <c r="D41" s="81" t="s">
        <v>762</v>
      </c>
      <c r="E41" s="81" t="s">
        <v>563</v>
      </c>
      <c r="F41" s="80" t="s">
        <v>763</v>
      </c>
      <c r="G41" s="81" t="s">
        <v>764</v>
      </c>
      <c r="H41" s="81" t="s">
        <v>765</v>
      </c>
      <c r="I41" s="80" t="s">
        <v>679</v>
      </c>
      <c r="J41" s="80" t="s">
        <v>539</v>
      </c>
      <c r="K41" s="80" t="s">
        <v>18</v>
      </c>
      <c r="L41" s="83"/>
      <c r="M41" s="83"/>
    </row>
    <row r="42" ht="22.5" customHeight="1">
      <c r="B42" s="80" t="s">
        <v>735</v>
      </c>
      <c r="C42" s="80" t="s">
        <v>701</v>
      </c>
      <c r="D42" s="81" t="s">
        <v>702</v>
      </c>
      <c r="E42" s="81" t="s">
        <v>563</v>
      </c>
      <c r="F42" s="80" t="s">
        <v>746</v>
      </c>
      <c r="G42" s="81" t="s">
        <v>766</v>
      </c>
      <c r="H42" s="81" t="s">
        <v>767</v>
      </c>
      <c r="I42" s="82"/>
      <c r="J42" s="80" t="s">
        <v>539</v>
      </c>
      <c r="K42" s="80" t="s">
        <v>18</v>
      </c>
      <c r="L42" s="83"/>
      <c r="M42" s="83"/>
    </row>
    <row r="43" ht="22.5" customHeight="1">
      <c r="B43" s="80" t="s">
        <v>735</v>
      </c>
      <c r="C43" s="80" t="s">
        <v>701</v>
      </c>
      <c r="D43" s="81" t="s">
        <v>768</v>
      </c>
      <c r="E43" s="81" t="s">
        <v>714</v>
      </c>
      <c r="F43" s="80" t="s">
        <v>746</v>
      </c>
      <c r="G43" s="81" t="s">
        <v>769</v>
      </c>
      <c r="H43" s="81" t="s">
        <v>770</v>
      </c>
      <c r="I43" s="82"/>
      <c r="J43" s="80" t="s">
        <v>539</v>
      </c>
      <c r="K43" s="80" t="s">
        <v>18</v>
      </c>
      <c r="L43" s="83"/>
      <c r="M43" s="83"/>
    </row>
    <row r="44" ht="22.5" hidden="1" customHeight="1">
      <c r="B44" s="62" t="s">
        <v>735</v>
      </c>
      <c r="C44" s="62" t="s">
        <v>701</v>
      </c>
      <c r="D44" s="63" t="s">
        <v>771</v>
      </c>
      <c r="E44" s="63" t="s">
        <v>327</v>
      </c>
      <c r="F44" s="62" t="s">
        <v>475</v>
      </c>
      <c r="G44" s="63" t="s">
        <v>772</v>
      </c>
      <c r="H44" s="63" t="s">
        <v>773</v>
      </c>
      <c r="I44" s="62" t="s">
        <v>674</v>
      </c>
      <c r="J44" s="62" t="s">
        <v>482</v>
      </c>
      <c r="K44" s="62" t="s">
        <v>18</v>
      </c>
      <c r="L44" s="63" t="s">
        <v>709</v>
      </c>
      <c r="M44" s="67"/>
    </row>
    <row r="45" ht="22.5" customHeight="1">
      <c r="B45" s="80" t="s">
        <v>735</v>
      </c>
      <c r="C45" s="80" t="s">
        <v>701</v>
      </c>
      <c r="D45" s="81" t="s">
        <v>774</v>
      </c>
      <c r="E45" s="81" t="s">
        <v>775</v>
      </c>
      <c r="F45" s="80" t="s">
        <v>475</v>
      </c>
      <c r="G45" s="81" t="s">
        <v>776</v>
      </c>
      <c r="H45" s="81" t="s">
        <v>777</v>
      </c>
      <c r="I45" s="80" t="s">
        <v>778</v>
      </c>
      <c r="J45" s="80" t="s">
        <v>539</v>
      </c>
      <c r="K45" s="80" t="s">
        <v>18</v>
      </c>
      <c r="L45" s="81" t="s">
        <v>478</v>
      </c>
      <c r="M45" s="83"/>
    </row>
    <row r="46" ht="22.5" hidden="1" customHeight="1">
      <c r="B46" s="62" t="s">
        <v>735</v>
      </c>
      <c r="C46" s="62" t="s">
        <v>701</v>
      </c>
      <c r="D46" s="63" t="s">
        <v>779</v>
      </c>
      <c r="E46" s="63" t="s">
        <v>119</v>
      </c>
      <c r="F46" s="62" t="s">
        <v>475</v>
      </c>
      <c r="G46" s="63" t="s">
        <v>780</v>
      </c>
      <c r="H46" s="63" t="s">
        <v>781</v>
      </c>
      <c r="I46" s="62" t="s">
        <v>739</v>
      </c>
      <c r="J46" s="62" t="s">
        <v>482</v>
      </c>
      <c r="K46" s="62" t="s">
        <v>18</v>
      </c>
      <c r="L46" s="63" t="s">
        <v>478</v>
      </c>
      <c r="M46" s="67"/>
    </row>
    <row r="47" ht="22.5" customHeight="1">
      <c r="B47" s="80" t="s">
        <v>735</v>
      </c>
      <c r="C47" s="80" t="s">
        <v>701</v>
      </c>
      <c r="D47" s="81" t="s">
        <v>782</v>
      </c>
      <c r="E47" s="81" t="s">
        <v>717</v>
      </c>
      <c r="F47" s="80" t="s">
        <v>763</v>
      </c>
      <c r="G47" s="81" t="s">
        <v>783</v>
      </c>
      <c r="H47" s="81" t="s">
        <v>784</v>
      </c>
      <c r="I47" s="80" t="s">
        <v>761</v>
      </c>
      <c r="J47" s="80" t="s">
        <v>539</v>
      </c>
      <c r="K47" s="80" t="s">
        <v>18</v>
      </c>
      <c r="L47" s="81" t="s">
        <v>478</v>
      </c>
      <c r="M47" s="83"/>
    </row>
    <row r="48" ht="22.5" hidden="1" customHeight="1">
      <c r="B48" s="62" t="s">
        <v>735</v>
      </c>
      <c r="C48" s="62" t="s">
        <v>701</v>
      </c>
      <c r="D48" s="63" t="s">
        <v>785</v>
      </c>
      <c r="E48" s="63" t="s">
        <v>572</v>
      </c>
      <c r="F48" s="62" t="s">
        <v>746</v>
      </c>
      <c r="G48" s="63" t="s">
        <v>786</v>
      </c>
      <c r="H48" s="63" t="s">
        <v>787</v>
      </c>
      <c r="I48" s="66"/>
      <c r="J48" s="62" t="s">
        <v>482</v>
      </c>
      <c r="K48" s="62" t="s">
        <v>18</v>
      </c>
      <c r="L48" s="63" t="s">
        <v>788</v>
      </c>
      <c r="M48" s="67"/>
    </row>
    <row r="49" ht="22.5" customHeight="1">
      <c r="B49" s="84" t="s">
        <v>735</v>
      </c>
      <c r="C49" s="84" t="s">
        <v>701</v>
      </c>
      <c r="D49" s="85" t="s">
        <v>705</v>
      </c>
      <c r="E49" s="85" t="s">
        <v>745</v>
      </c>
      <c r="F49" s="84" t="s">
        <v>475</v>
      </c>
      <c r="G49" s="85" t="s">
        <v>789</v>
      </c>
      <c r="H49" s="85" t="s">
        <v>790</v>
      </c>
      <c r="I49" s="84" t="s">
        <v>76</v>
      </c>
      <c r="J49" s="84" t="s">
        <v>675</v>
      </c>
      <c r="K49" s="84" t="s">
        <v>18</v>
      </c>
      <c r="L49" s="86"/>
      <c r="M49" s="86"/>
    </row>
    <row r="50" ht="22.5" customHeight="1">
      <c r="B50" s="80" t="s">
        <v>735</v>
      </c>
      <c r="C50" s="80" t="s">
        <v>710</v>
      </c>
      <c r="D50" s="81" t="s">
        <v>791</v>
      </c>
      <c r="E50" s="81" t="s">
        <v>563</v>
      </c>
      <c r="F50" s="80" t="s">
        <v>475</v>
      </c>
      <c r="G50" s="81" t="s">
        <v>792</v>
      </c>
      <c r="H50" s="81" t="s">
        <v>793</v>
      </c>
      <c r="I50" s="80" t="s">
        <v>630</v>
      </c>
      <c r="J50" s="80" t="s">
        <v>539</v>
      </c>
      <c r="K50" s="80" t="s">
        <v>18</v>
      </c>
      <c r="L50" s="81" t="s">
        <v>129</v>
      </c>
      <c r="M50" s="83"/>
    </row>
    <row r="51" ht="22.5" hidden="1" customHeight="1">
      <c r="B51" s="62" t="s">
        <v>735</v>
      </c>
      <c r="C51" s="62" t="s">
        <v>710</v>
      </c>
      <c r="D51" s="63" t="s">
        <v>794</v>
      </c>
      <c r="E51" s="63" t="s">
        <v>327</v>
      </c>
      <c r="F51" s="62" t="s">
        <v>515</v>
      </c>
      <c r="G51" s="63" t="s">
        <v>795</v>
      </c>
      <c r="H51" s="63" t="s">
        <v>796</v>
      </c>
      <c r="I51" s="62" t="s">
        <v>674</v>
      </c>
      <c r="J51" s="62" t="s">
        <v>482</v>
      </c>
      <c r="K51" s="62" t="s">
        <v>18</v>
      </c>
      <c r="L51" s="63" t="s">
        <v>797</v>
      </c>
      <c r="M51" s="67"/>
    </row>
    <row r="52" ht="22.5" hidden="1" customHeight="1">
      <c r="B52" s="62" t="s">
        <v>735</v>
      </c>
      <c r="C52" s="62" t="s">
        <v>710</v>
      </c>
      <c r="D52" s="63" t="s">
        <v>711</v>
      </c>
      <c r="E52" s="63" t="s">
        <v>717</v>
      </c>
      <c r="F52" s="62" t="s">
        <v>475</v>
      </c>
      <c r="G52" s="63" t="s">
        <v>798</v>
      </c>
      <c r="H52" s="63" t="s">
        <v>799</v>
      </c>
      <c r="I52" s="66"/>
      <c r="J52" s="62" t="s">
        <v>482</v>
      </c>
      <c r="K52" s="62" t="s">
        <v>18</v>
      </c>
      <c r="L52" s="63" t="s">
        <v>800</v>
      </c>
      <c r="M52" s="67"/>
    </row>
    <row r="53" ht="22.5" customHeight="1">
      <c r="B53" s="80" t="s">
        <v>735</v>
      </c>
      <c r="C53" s="80" t="s">
        <v>710</v>
      </c>
      <c r="D53" s="81" t="s">
        <v>801</v>
      </c>
      <c r="E53" s="81" t="s">
        <v>119</v>
      </c>
      <c r="F53" s="80" t="s">
        <v>564</v>
      </c>
      <c r="G53" s="81" t="s">
        <v>802</v>
      </c>
      <c r="H53" s="81" t="s">
        <v>803</v>
      </c>
      <c r="I53" s="80" t="s">
        <v>739</v>
      </c>
      <c r="J53" s="80" t="s">
        <v>539</v>
      </c>
      <c r="K53" s="80" t="s">
        <v>18</v>
      </c>
      <c r="L53" s="81" t="s">
        <v>804</v>
      </c>
      <c r="M53" s="83"/>
    </row>
    <row r="54" ht="22.5" customHeight="1">
      <c r="B54" s="80" t="s">
        <v>735</v>
      </c>
      <c r="C54" s="80" t="s">
        <v>710</v>
      </c>
      <c r="D54" s="81" t="s">
        <v>805</v>
      </c>
      <c r="E54" s="81" t="s">
        <v>563</v>
      </c>
      <c r="F54" s="80" t="s">
        <v>475</v>
      </c>
      <c r="G54" s="81" t="s">
        <v>806</v>
      </c>
      <c r="H54" s="81" t="s">
        <v>807</v>
      </c>
      <c r="I54" s="80" t="s">
        <v>630</v>
      </c>
      <c r="J54" s="80" t="s">
        <v>539</v>
      </c>
      <c r="K54" s="80" t="s">
        <v>18</v>
      </c>
      <c r="L54" s="81" t="s">
        <v>552</v>
      </c>
      <c r="M54" s="83"/>
    </row>
    <row r="55" ht="22.5" hidden="1" customHeight="1">
      <c r="B55" s="62" t="s">
        <v>735</v>
      </c>
      <c r="C55" s="62" t="s">
        <v>710</v>
      </c>
      <c r="D55" s="63" t="s">
        <v>713</v>
      </c>
      <c r="E55" s="63" t="s">
        <v>717</v>
      </c>
      <c r="F55" s="62" t="s">
        <v>475</v>
      </c>
      <c r="G55" s="63" t="s">
        <v>808</v>
      </c>
      <c r="H55" s="63" t="s">
        <v>809</v>
      </c>
      <c r="I55" s="66"/>
      <c r="J55" s="62" t="s">
        <v>482</v>
      </c>
      <c r="K55" s="62" t="s">
        <v>18</v>
      </c>
      <c r="L55" s="63" t="s">
        <v>800</v>
      </c>
      <c r="M55" s="67"/>
    </row>
    <row r="56" ht="22.5" hidden="1" customHeight="1">
      <c r="B56" s="62" t="s">
        <v>735</v>
      </c>
      <c r="C56" s="62" t="s">
        <v>710</v>
      </c>
      <c r="D56" s="63" t="s">
        <v>810</v>
      </c>
      <c r="E56" s="63" t="s">
        <v>717</v>
      </c>
      <c r="F56" s="62" t="s">
        <v>564</v>
      </c>
      <c r="G56" s="63" t="s">
        <v>811</v>
      </c>
      <c r="H56" s="63" t="s">
        <v>812</v>
      </c>
      <c r="I56" s="62" t="s">
        <v>761</v>
      </c>
      <c r="J56" s="62" t="s">
        <v>482</v>
      </c>
      <c r="K56" s="62" t="s">
        <v>18</v>
      </c>
      <c r="L56" s="63" t="s">
        <v>800</v>
      </c>
      <c r="M56" s="67"/>
    </row>
    <row r="57" ht="22.5" customHeight="1">
      <c r="B57" s="80" t="s">
        <v>735</v>
      </c>
      <c r="C57" s="80" t="s">
        <v>710</v>
      </c>
      <c r="D57" s="81" t="s">
        <v>716</v>
      </c>
      <c r="E57" s="81" t="s">
        <v>714</v>
      </c>
      <c r="F57" s="80" t="s">
        <v>472</v>
      </c>
      <c r="G57" s="81" t="s">
        <v>813</v>
      </c>
      <c r="H57" s="81" t="s">
        <v>814</v>
      </c>
      <c r="I57" s="82"/>
      <c r="J57" s="80" t="s">
        <v>539</v>
      </c>
      <c r="K57" s="80" t="s">
        <v>18</v>
      </c>
      <c r="L57" s="81" t="s">
        <v>800</v>
      </c>
      <c r="M57" s="83"/>
    </row>
    <row r="58" ht="22.5" customHeight="1">
      <c r="B58" s="80" t="s">
        <v>735</v>
      </c>
      <c r="C58" s="80" t="s">
        <v>710</v>
      </c>
      <c r="D58" s="81" t="s">
        <v>720</v>
      </c>
      <c r="E58" s="81" t="s">
        <v>119</v>
      </c>
      <c r="F58" s="80" t="s">
        <v>746</v>
      </c>
      <c r="G58" s="81" t="s">
        <v>815</v>
      </c>
      <c r="H58" s="81" t="s">
        <v>816</v>
      </c>
      <c r="I58" s="82"/>
      <c r="J58" s="80" t="s">
        <v>539</v>
      </c>
      <c r="K58" s="80" t="s">
        <v>18</v>
      </c>
      <c r="L58" s="81" t="s">
        <v>484</v>
      </c>
      <c r="M58" s="83"/>
    </row>
    <row r="59" ht="22.5" customHeight="1">
      <c r="B59" s="80" t="s">
        <v>735</v>
      </c>
      <c r="C59" s="80" t="s">
        <v>710</v>
      </c>
      <c r="D59" s="81" t="s">
        <v>817</v>
      </c>
      <c r="E59" s="81" t="s">
        <v>563</v>
      </c>
      <c r="F59" s="80" t="s">
        <v>763</v>
      </c>
      <c r="G59" s="81" t="s">
        <v>818</v>
      </c>
      <c r="H59" s="81" t="s">
        <v>819</v>
      </c>
      <c r="I59" s="80" t="s">
        <v>630</v>
      </c>
      <c r="J59" s="80" t="s">
        <v>539</v>
      </c>
      <c r="K59" s="80" t="s">
        <v>18</v>
      </c>
      <c r="L59" s="81" t="s">
        <v>129</v>
      </c>
      <c r="M59" s="83"/>
    </row>
    <row r="60" ht="22.5" hidden="1" customHeight="1">
      <c r="B60" s="62" t="s">
        <v>735</v>
      </c>
      <c r="C60" s="62" t="s">
        <v>710</v>
      </c>
      <c r="D60" s="63" t="s">
        <v>723</v>
      </c>
      <c r="E60" s="63" t="s">
        <v>572</v>
      </c>
      <c r="F60" s="62" t="s">
        <v>472</v>
      </c>
      <c r="G60" s="63" t="s">
        <v>820</v>
      </c>
      <c r="H60" s="63" t="s">
        <v>821</v>
      </c>
      <c r="I60" s="66"/>
      <c r="J60" s="62" t="s">
        <v>482</v>
      </c>
      <c r="K60" s="62" t="s">
        <v>18</v>
      </c>
      <c r="L60" s="63" t="s">
        <v>822</v>
      </c>
      <c r="M60" s="67"/>
    </row>
    <row r="61" ht="22.5" hidden="1" customHeight="1">
      <c r="B61" s="62" t="s">
        <v>735</v>
      </c>
      <c r="C61" s="62" t="s">
        <v>710</v>
      </c>
      <c r="D61" s="63" t="s">
        <v>823</v>
      </c>
      <c r="E61" s="63" t="s">
        <v>327</v>
      </c>
      <c r="F61" s="62" t="s">
        <v>475</v>
      </c>
      <c r="G61" s="63" t="s">
        <v>824</v>
      </c>
      <c r="H61" s="63" t="s">
        <v>825</v>
      </c>
      <c r="I61" s="62" t="s">
        <v>674</v>
      </c>
      <c r="J61" s="62" t="s">
        <v>482</v>
      </c>
      <c r="K61" s="62" t="s">
        <v>18</v>
      </c>
      <c r="L61" s="63" t="s">
        <v>541</v>
      </c>
      <c r="M61" s="67"/>
    </row>
    <row r="62" ht="22.5" customHeight="1">
      <c r="B62" s="87" t="s">
        <v>735</v>
      </c>
      <c r="C62" s="80" t="s">
        <v>710</v>
      </c>
      <c r="D62" s="81" t="s">
        <v>826</v>
      </c>
      <c r="E62" s="81" t="s">
        <v>717</v>
      </c>
      <c r="F62" s="80" t="s">
        <v>475</v>
      </c>
      <c r="G62" s="81" t="s">
        <v>827</v>
      </c>
      <c r="H62" s="81" t="s">
        <v>828</v>
      </c>
      <c r="I62" s="80" t="s">
        <v>761</v>
      </c>
      <c r="J62" s="80" t="s">
        <v>539</v>
      </c>
      <c r="K62" s="80" t="s">
        <v>18</v>
      </c>
      <c r="L62" s="81" t="s">
        <v>829</v>
      </c>
      <c r="M62" s="83"/>
    </row>
    <row r="63" ht="22.5" customHeight="1">
      <c r="B63" s="80" t="s">
        <v>735</v>
      </c>
      <c r="C63" s="80" t="s">
        <v>710</v>
      </c>
      <c r="D63" s="81" t="s">
        <v>830</v>
      </c>
      <c r="E63" s="81" t="s">
        <v>563</v>
      </c>
      <c r="F63" s="80" t="s">
        <v>515</v>
      </c>
      <c r="G63" s="81" t="s">
        <v>831</v>
      </c>
      <c r="H63" s="81" t="s">
        <v>832</v>
      </c>
      <c r="I63" s="80" t="s">
        <v>630</v>
      </c>
      <c r="J63" s="80" t="s">
        <v>539</v>
      </c>
      <c r="K63" s="80" t="s">
        <v>18</v>
      </c>
      <c r="L63" s="81" t="s">
        <v>129</v>
      </c>
      <c r="M63" s="83"/>
    </row>
    <row r="64" ht="22.5" customHeight="1">
      <c r="B64" s="84" t="s">
        <v>735</v>
      </c>
      <c r="C64" s="84" t="s">
        <v>710</v>
      </c>
      <c r="D64" s="85" t="s">
        <v>833</v>
      </c>
      <c r="E64" s="85" t="s">
        <v>745</v>
      </c>
      <c r="F64" s="84" t="s">
        <v>475</v>
      </c>
      <c r="G64" s="85" t="s">
        <v>789</v>
      </c>
      <c r="H64" s="85" t="s">
        <v>790</v>
      </c>
      <c r="I64" s="84" t="s">
        <v>76</v>
      </c>
      <c r="J64" s="84" t="s">
        <v>675</v>
      </c>
      <c r="K64" s="84" t="s">
        <v>18</v>
      </c>
      <c r="L64" s="86"/>
      <c r="M64" s="86"/>
    </row>
    <row r="65" ht="22.5" hidden="1" customHeight="1">
      <c r="B65" s="62" t="s">
        <v>735</v>
      </c>
      <c r="C65" s="62" t="s">
        <v>726</v>
      </c>
      <c r="D65" s="63" t="s">
        <v>834</v>
      </c>
      <c r="E65" s="63" t="s">
        <v>563</v>
      </c>
      <c r="F65" s="62" t="s">
        <v>472</v>
      </c>
      <c r="G65" s="63" t="s">
        <v>835</v>
      </c>
      <c r="H65" s="63" t="s">
        <v>766</v>
      </c>
      <c r="I65" s="66"/>
      <c r="J65" s="62" t="s">
        <v>482</v>
      </c>
      <c r="K65" s="62" t="s">
        <v>18</v>
      </c>
      <c r="L65" s="63" t="s">
        <v>836</v>
      </c>
      <c r="M65" s="67"/>
    </row>
    <row r="66" ht="22.5" customHeight="1">
      <c r="B66" s="80" t="s">
        <v>735</v>
      </c>
      <c r="C66" s="80" t="s">
        <v>726</v>
      </c>
      <c r="D66" s="81" t="s">
        <v>727</v>
      </c>
      <c r="E66" s="81" t="s">
        <v>563</v>
      </c>
      <c r="F66" s="80" t="s">
        <v>475</v>
      </c>
      <c r="G66" s="81" t="s">
        <v>755</v>
      </c>
      <c r="H66" s="81" t="s">
        <v>756</v>
      </c>
      <c r="I66" s="82"/>
      <c r="J66" s="80" t="s">
        <v>539</v>
      </c>
      <c r="K66" s="80" t="s">
        <v>18</v>
      </c>
      <c r="L66" s="81" t="s">
        <v>837</v>
      </c>
      <c r="M66" s="83"/>
    </row>
    <row r="67" ht="22.5" hidden="1" customHeight="1">
      <c r="B67" s="62" t="s">
        <v>735</v>
      </c>
      <c r="C67" s="62" t="s">
        <v>726</v>
      </c>
      <c r="D67" s="63" t="s">
        <v>838</v>
      </c>
      <c r="E67" s="63" t="s">
        <v>119</v>
      </c>
      <c r="F67" s="62" t="s">
        <v>564</v>
      </c>
      <c r="G67" s="63" t="s">
        <v>839</v>
      </c>
      <c r="H67" s="63" t="s">
        <v>840</v>
      </c>
      <c r="I67" s="62" t="s">
        <v>739</v>
      </c>
      <c r="J67" s="62" t="s">
        <v>482</v>
      </c>
      <c r="K67" s="62" t="s">
        <v>18</v>
      </c>
      <c r="L67" s="63" t="s">
        <v>182</v>
      </c>
      <c r="M67" s="67"/>
    </row>
    <row r="68" ht="22.5" customHeight="1">
      <c r="B68" s="80" t="s">
        <v>735</v>
      </c>
      <c r="C68" s="80" t="s">
        <v>726</v>
      </c>
      <c r="D68" s="81" t="s">
        <v>841</v>
      </c>
      <c r="E68" s="81" t="s">
        <v>563</v>
      </c>
      <c r="F68" s="80" t="s">
        <v>475</v>
      </c>
      <c r="G68" s="81" t="s">
        <v>842</v>
      </c>
      <c r="H68" s="81" t="s">
        <v>843</v>
      </c>
      <c r="I68" s="80" t="s">
        <v>630</v>
      </c>
      <c r="J68" s="80" t="s">
        <v>539</v>
      </c>
      <c r="K68" s="80" t="s">
        <v>18</v>
      </c>
      <c r="L68" s="81" t="s">
        <v>837</v>
      </c>
      <c r="M68" s="83"/>
    </row>
    <row r="69" ht="22.5" hidden="1" customHeight="1">
      <c r="B69" s="62" t="s">
        <v>735</v>
      </c>
      <c r="C69" s="62" t="s">
        <v>726</v>
      </c>
      <c r="D69" s="63" t="s">
        <v>844</v>
      </c>
      <c r="E69" s="63" t="s">
        <v>572</v>
      </c>
      <c r="F69" s="62" t="s">
        <v>746</v>
      </c>
      <c r="G69" s="63" t="s">
        <v>845</v>
      </c>
      <c r="H69" s="63" t="s">
        <v>846</v>
      </c>
      <c r="I69" s="62" t="s">
        <v>847</v>
      </c>
      <c r="J69" s="62" t="s">
        <v>482</v>
      </c>
      <c r="K69" s="62" t="s">
        <v>18</v>
      </c>
      <c r="L69" s="63" t="s">
        <v>848</v>
      </c>
      <c r="M69" s="67"/>
    </row>
    <row r="70" ht="22.5" hidden="1" customHeight="1">
      <c r="B70" s="62" t="s">
        <v>735</v>
      </c>
      <c r="C70" s="62" t="s">
        <v>726</v>
      </c>
      <c r="D70" s="63" t="s">
        <v>849</v>
      </c>
      <c r="E70" s="63" t="s">
        <v>572</v>
      </c>
      <c r="F70" s="62" t="s">
        <v>475</v>
      </c>
      <c r="G70" s="63" t="s">
        <v>850</v>
      </c>
      <c r="H70" s="63" t="s">
        <v>851</v>
      </c>
      <c r="I70" s="62" t="s">
        <v>852</v>
      </c>
      <c r="J70" s="62" t="s">
        <v>482</v>
      </c>
      <c r="K70" s="62" t="s">
        <v>18</v>
      </c>
      <c r="L70" s="63" t="s">
        <v>853</v>
      </c>
      <c r="M70" s="67"/>
    </row>
    <row r="71" ht="22.5" hidden="1" customHeight="1">
      <c r="B71" s="62" t="s">
        <v>735</v>
      </c>
      <c r="C71" s="62" t="s">
        <v>726</v>
      </c>
      <c r="D71" s="63" t="s">
        <v>854</v>
      </c>
      <c r="E71" s="63" t="s">
        <v>706</v>
      </c>
      <c r="F71" s="62" t="s">
        <v>564</v>
      </c>
      <c r="G71" s="63" t="s">
        <v>855</v>
      </c>
      <c r="H71" s="63" t="s">
        <v>856</v>
      </c>
      <c r="I71" s="62" t="s">
        <v>674</v>
      </c>
      <c r="J71" s="62" t="s">
        <v>482</v>
      </c>
      <c r="K71" s="62" t="s">
        <v>18</v>
      </c>
      <c r="L71" s="63" t="s">
        <v>857</v>
      </c>
      <c r="M71" s="67"/>
    </row>
    <row r="72" ht="22.5" customHeight="1">
      <c r="B72" s="80" t="s">
        <v>735</v>
      </c>
      <c r="C72" s="80" t="s">
        <v>726</v>
      </c>
      <c r="D72" s="81" t="s">
        <v>858</v>
      </c>
      <c r="E72" s="81" t="s">
        <v>859</v>
      </c>
      <c r="F72" s="80" t="s">
        <v>763</v>
      </c>
      <c r="G72" s="81" t="s">
        <v>860</v>
      </c>
      <c r="H72" s="81" t="s">
        <v>861</v>
      </c>
      <c r="I72" s="80" t="s">
        <v>679</v>
      </c>
      <c r="J72" s="80" t="s">
        <v>539</v>
      </c>
      <c r="K72" s="80" t="s">
        <v>18</v>
      </c>
      <c r="L72" s="81" t="s">
        <v>730</v>
      </c>
      <c r="M72" s="83"/>
    </row>
    <row r="73" ht="22.5" customHeight="1">
      <c r="B73" s="80" t="s">
        <v>735</v>
      </c>
      <c r="C73" s="80" t="s">
        <v>726</v>
      </c>
      <c r="D73" s="81" t="s">
        <v>862</v>
      </c>
      <c r="E73" s="81" t="s">
        <v>572</v>
      </c>
      <c r="F73" s="80" t="s">
        <v>746</v>
      </c>
      <c r="G73" s="81" t="s">
        <v>863</v>
      </c>
      <c r="H73" s="81" t="s">
        <v>864</v>
      </c>
      <c r="I73" s="80" t="s">
        <v>847</v>
      </c>
      <c r="J73" s="80" t="s">
        <v>539</v>
      </c>
      <c r="K73" s="80" t="s">
        <v>18</v>
      </c>
      <c r="L73" s="81" t="s">
        <v>16</v>
      </c>
      <c r="M73" s="83"/>
    </row>
    <row r="74" ht="22.5" hidden="1" customHeight="1">
      <c r="B74" s="62" t="s">
        <v>735</v>
      </c>
      <c r="C74" s="62" t="s">
        <v>726</v>
      </c>
      <c r="D74" s="63" t="s">
        <v>865</v>
      </c>
      <c r="E74" s="63" t="s">
        <v>572</v>
      </c>
      <c r="F74" s="62" t="s">
        <v>472</v>
      </c>
      <c r="G74" s="63" t="s">
        <v>866</v>
      </c>
      <c r="H74" s="63" t="s">
        <v>867</v>
      </c>
      <c r="I74" s="66"/>
      <c r="J74" s="62" t="s">
        <v>482</v>
      </c>
      <c r="K74" s="62" t="s">
        <v>18</v>
      </c>
      <c r="L74" s="63" t="s">
        <v>16</v>
      </c>
      <c r="M74" s="67"/>
    </row>
    <row r="75" ht="22.5" hidden="1" customHeight="1">
      <c r="B75" s="62" t="s">
        <v>735</v>
      </c>
      <c r="C75" s="62" t="s">
        <v>726</v>
      </c>
      <c r="D75" s="63" t="s">
        <v>868</v>
      </c>
      <c r="E75" s="63" t="s">
        <v>572</v>
      </c>
      <c r="F75" s="62" t="s">
        <v>475</v>
      </c>
      <c r="G75" s="63" t="s">
        <v>869</v>
      </c>
      <c r="H75" s="63" t="s">
        <v>870</v>
      </c>
      <c r="I75" s="62" t="s">
        <v>847</v>
      </c>
      <c r="J75" s="62" t="s">
        <v>482</v>
      </c>
      <c r="K75" s="62" t="s">
        <v>18</v>
      </c>
      <c r="L75" s="63" t="s">
        <v>16</v>
      </c>
      <c r="M75" s="67"/>
    </row>
    <row r="76" ht="22.5" hidden="1" customHeight="1">
      <c r="B76" s="62" t="s">
        <v>735</v>
      </c>
      <c r="C76" s="62" t="s">
        <v>726</v>
      </c>
      <c r="D76" s="63" t="s">
        <v>871</v>
      </c>
      <c r="E76" s="63" t="s">
        <v>706</v>
      </c>
      <c r="F76" s="62" t="s">
        <v>564</v>
      </c>
      <c r="G76" s="63" t="s">
        <v>824</v>
      </c>
      <c r="H76" s="63" t="s">
        <v>825</v>
      </c>
      <c r="I76" s="62" t="s">
        <v>674</v>
      </c>
      <c r="J76" s="62" t="s">
        <v>482</v>
      </c>
      <c r="K76" s="62" t="s">
        <v>18</v>
      </c>
      <c r="L76" s="63" t="s">
        <v>857</v>
      </c>
      <c r="M76" s="67"/>
    </row>
    <row r="77" ht="22.5" customHeight="1">
      <c r="B77" s="80" t="s">
        <v>735</v>
      </c>
      <c r="C77" s="80" t="s">
        <v>726</v>
      </c>
      <c r="D77" s="81" t="s">
        <v>872</v>
      </c>
      <c r="E77" s="81" t="s">
        <v>859</v>
      </c>
      <c r="F77" s="80" t="s">
        <v>515</v>
      </c>
      <c r="G77" s="81" t="s">
        <v>873</v>
      </c>
      <c r="H77" s="81" t="s">
        <v>874</v>
      </c>
      <c r="I77" s="80" t="s">
        <v>76</v>
      </c>
      <c r="J77" s="80" t="s">
        <v>539</v>
      </c>
      <c r="K77" s="80" t="s">
        <v>18</v>
      </c>
      <c r="L77" s="81" t="s">
        <v>875</v>
      </c>
      <c r="M77" s="83"/>
    </row>
    <row r="78" ht="22.5" hidden="1" customHeight="1">
      <c r="B78" s="62" t="s">
        <v>735</v>
      </c>
      <c r="C78" s="62" t="s">
        <v>726</v>
      </c>
      <c r="D78" s="63" t="s">
        <v>876</v>
      </c>
      <c r="E78" s="63" t="s">
        <v>572</v>
      </c>
      <c r="F78" s="62" t="s">
        <v>746</v>
      </c>
      <c r="G78" s="63" t="s">
        <v>877</v>
      </c>
      <c r="H78" s="63" t="s">
        <v>878</v>
      </c>
      <c r="I78" s="66"/>
      <c r="J78" s="62" t="s">
        <v>482</v>
      </c>
      <c r="K78" s="62" t="s">
        <v>18</v>
      </c>
      <c r="L78" s="63" t="s">
        <v>16</v>
      </c>
      <c r="M78" s="67"/>
    </row>
    <row r="79" ht="22.5" hidden="1" customHeight="1">
      <c r="B79" s="62" t="s">
        <v>735</v>
      </c>
      <c r="C79" s="62" t="s">
        <v>726</v>
      </c>
      <c r="D79" s="63" t="s">
        <v>731</v>
      </c>
      <c r="E79" s="63" t="s">
        <v>745</v>
      </c>
      <c r="F79" s="62" t="s">
        <v>475</v>
      </c>
      <c r="G79" s="63" t="s">
        <v>789</v>
      </c>
      <c r="H79" s="63" t="s">
        <v>790</v>
      </c>
      <c r="I79" s="62" t="s">
        <v>76</v>
      </c>
      <c r="J79" s="62" t="s">
        <v>482</v>
      </c>
      <c r="K79" s="62" t="s">
        <v>18</v>
      </c>
      <c r="L79" s="63" t="s">
        <v>879</v>
      </c>
      <c r="M79" s="67"/>
    </row>
    <row r="80" ht="22.5" hidden="1" customHeight="1">
      <c r="B80" s="62" t="s">
        <v>735</v>
      </c>
      <c r="C80" s="62" t="s">
        <v>880</v>
      </c>
      <c r="D80" s="63" t="s">
        <v>881</v>
      </c>
      <c r="E80" s="63" t="s">
        <v>179</v>
      </c>
      <c r="F80" s="62" t="s">
        <v>475</v>
      </c>
      <c r="G80" s="63" t="s">
        <v>882</v>
      </c>
      <c r="H80" s="63" t="s">
        <v>883</v>
      </c>
      <c r="I80" s="62" t="s">
        <v>761</v>
      </c>
      <c r="J80" s="62" t="s">
        <v>482</v>
      </c>
      <c r="K80" s="62" t="s">
        <v>18</v>
      </c>
      <c r="L80" s="63" t="s">
        <v>218</v>
      </c>
      <c r="M80" s="67"/>
    </row>
    <row r="81" ht="22.5" customHeight="1">
      <c r="B81" s="80" t="s">
        <v>735</v>
      </c>
      <c r="C81" s="80" t="s">
        <v>880</v>
      </c>
      <c r="D81" s="81" t="s">
        <v>884</v>
      </c>
      <c r="E81" s="81" t="s">
        <v>563</v>
      </c>
      <c r="F81" s="80" t="s">
        <v>475</v>
      </c>
      <c r="G81" s="81" t="s">
        <v>885</v>
      </c>
      <c r="H81" s="81" t="s">
        <v>793</v>
      </c>
      <c r="I81" s="82"/>
      <c r="J81" s="80" t="s">
        <v>539</v>
      </c>
      <c r="K81" s="80" t="s">
        <v>18</v>
      </c>
      <c r="L81" s="81" t="s">
        <v>552</v>
      </c>
      <c r="M81" s="83"/>
    </row>
    <row r="82" ht="22.5" customHeight="1">
      <c r="B82" s="80" t="s">
        <v>735</v>
      </c>
      <c r="C82" s="80" t="s">
        <v>880</v>
      </c>
      <c r="D82" s="81" t="s">
        <v>886</v>
      </c>
      <c r="E82" s="81" t="s">
        <v>859</v>
      </c>
      <c r="F82" s="80" t="s">
        <v>564</v>
      </c>
      <c r="G82" s="81" t="s">
        <v>887</v>
      </c>
      <c r="H82" s="81" t="s">
        <v>888</v>
      </c>
      <c r="I82" s="80" t="s">
        <v>852</v>
      </c>
      <c r="J82" s="80" t="s">
        <v>539</v>
      </c>
      <c r="K82" s="80" t="s">
        <v>18</v>
      </c>
      <c r="L82" s="81" t="s">
        <v>889</v>
      </c>
      <c r="M82" s="83"/>
    </row>
    <row r="83" ht="22.5" customHeight="1">
      <c r="B83" s="80" t="s">
        <v>735</v>
      </c>
      <c r="C83" s="80" t="s">
        <v>880</v>
      </c>
      <c r="D83" s="81" t="s">
        <v>890</v>
      </c>
      <c r="E83" s="81" t="s">
        <v>859</v>
      </c>
      <c r="F83" s="80" t="s">
        <v>763</v>
      </c>
      <c r="G83" s="81" t="s">
        <v>860</v>
      </c>
      <c r="H83" s="81" t="s">
        <v>861</v>
      </c>
      <c r="I83" s="80" t="s">
        <v>679</v>
      </c>
      <c r="J83" s="80" t="s">
        <v>539</v>
      </c>
      <c r="K83" s="80" t="s">
        <v>18</v>
      </c>
      <c r="L83" s="81" t="s">
        <v>891</v>
      </c>
      <c r="M83" s="83"/>
    </row>
    <row r="84" ht="22.5" hidden="1" customHeight="1">
      <c r="B84" s="62" t="s">
        <v>735</v>
      </c>
      <c r="C84" s="62" t="s">
        <v>880</v>
      </c>
      <c r="D84" s="63" t="s">
        <v>892</v>
      </c>
      <c r="E84" s="63" t="s">
        <v>706</v>
      </c>
      <c r="F84" s="62" t="s">
        <v>475</v>
      </c>
      <c r="G84" s="63" t="s">
        <v>893</v>
      </c>
      <c r="H84" s="63" t="s">
        <v>894</v>
      </c>
      <c r="I84" s="62" t="s">
        <v>674</v>
      </c>
      <c r="J84" s="62" t="s">
        <v>482</v>
      </c>
      <c r="K84" s="62" t="s">
        <v>18</v>
      </c>
      <c r="L84" s="63" t="s">
        <v>895</v>
      </c>
      <c r="M84" s="67"/>
    </row>
    <row r="85" ht="22.5" hidden="1" customHeight="1">
      <c r="B85" s="62" t="s">
        <v>735</v>
      </c>
      <c r="C85" s="62" t="s">
        <v>880</v>
      </c>
      <c r="D85" s="63" t="s">
        <v>896</v>
      </c>
      <c r="E85" s="63" t="s">
        <v>119</v>
      </c>
      <c r="F85" s="62" t="s">
        <v>472</v>
      </c>
      <c r="G85" s="63" t="s">
        <v>897</v>
      </c>
      <c r="H85" s="63" t="s">
        <v>898</v>
      </c>
      <c r="I85" s="66"/>
      <c r="J85" s="62" t="s">
        <v>482</v>
      </c>
      <c r="K85" s="62" t="s">
        <v>18</v>
      </c>
      <c r="L85" s="63" t="s">
        <v>899</v>
      </c>
      <c r="M85" s="67"/>
    </row>
    <row r="86" ht="22.5" customHeight="1">
      <c r="B86" s="80" t="s">
        <v>735</v>
      </c>
      <c r="C86" s="80" t="s">
        <v>880</v>
      </c>
      <c r="D86" s="81" t="s">
        <v>900</v>
      </c>
      <c r="E86" s="81" t="s">
        <v>717</v>
      </c>
      <c r="F86" s="80" t="s">
        <v>475</v>
      </c>
      <c r="G86" s="81" t="s">
        <v>901</v>
      </c>
      <c r="H86" s="81" t="s">
        <v>902</v>
      </c>
      <c r="I86" s="80" t="s">
        <v>761</v>
      </c>
      <c r="J86" s="80" t="s">
        <v>539</v>
      </c>
      <c r="K86" s="80" t="s">
        <v>18</v>
      </c>
      <c r="L86" s="81" t="s">
        <v>889</v>
      </c>
      <c r="M86" s="88"/>
    </row>
    <row r="87" ht="22.5" customHeight="1">
      <c r="B87" s="80" t="s">
        <v>735</v>
      </c>
      <c r="C87" s="80" t="s">
        <v>880</v>
      </c>
      <c r="D87" s="81" t="s">
        <v>903</v>
      </c>
      <c r="E87" s="81" t="s">
        <v>119</v>
      </c>
      <c r="F87" s="80" t="s">
        <v>564</v>
      </c>
      <c r="G87" s="81" t="s">
        <v>904</v>
      </c>
      <c r="H87" s="81" t="s">
        <v>905</v>
      </c>
      <c r="I87" s="80" t="s">
        <v>739</v>
      </c>
      <c r="J87" s="80" t="s">
        <v>539</v>
      </c>
      <c r="K87" s="80" t="s">
        <v>18</v>
      </c>
      <c r="L87" s="81" t="s">
        <v>161</v>
      </c>
      <c r="M87" s="83"/>
    </row>
    <row r="88" ht="22.5" hidden="1" customHeight="1">
      <c r="B88" s="62" t="s">
        <v>735</v>
      </c>
      <c r="C88" s="62" t="s">
        <v>880</v>
      </c>
      <c r="D88" s="63" t="s">
        <v>906</v>
      </c>
      <c r="E88" s="63" t="s">
        <v>572</v>
      </c>
      <c r="F88" s="62" t="s">
        <v>746</v>
      </c>
      <c r="G88" s="63" t="s">
        <v>907</v>
      </c>
      <c r="H88" s="63" t="s">
        <v>908</v>
      </c>
      <c r="I88" s="62" t="s">
        <v>852</v>
      </c>
      <c r="J88" s="62" t="s">
        <v>482</v>
      </c>
      <c r="K88" s="62" t="s">
        <v>18</v>
      </c>
      <c r="L88" s="63" t="s">
        <v>159</v>
      </c>
      <c r="M88" s="67"/>
    </row>
    <row r="89" ht="22.5" hidden="1" customHeight="1">
      <c r="B89" s="62" t="s">
        <v>735</v>
      </c>
      <c r="C89" s="62" t="s">
        <v>880</v>
      </c>
      <c r="D89" s="63" t="s">
        <v>909</v>
      </c>
      <c r="E89" s="63" t="s">
        <v>119</v>
      </c>
      <c r="F89" s="62" t="s">
        <v>475</v>
      </c>
      <c r="G89" s="63" t="s">
        <v>910</v>
      </c>
      <c r="H89" s="63" t="s">
        <v>911</v>
      </c>
      <c r="I89" s="66"/>
      <c r="J89" s="62" t="s">
        <v>482</v>
      </c>
      <c r="K89" s="62" t="s">
        <v>18</v>
      </c>
      <c r="L89" s="63" t="s">
        <v>912</v>
      </c>
      <c r="M89" s="67"/>
    </row>
    <row r="90" ht="22.5" hidden="1" customHeight="1">
      <c r="B90" s="62" t="s">
        <v>735</v>
      </c>
      <c r="C90" s="62" t="s">
        <v>880</v>
      </c>
      <c r="D90" s="63" t="s">
        <v>913</v>
      </c>
      <c r="E90" s="63" t="s">
        <v>717</v>
      </c>
      <c r="F90" s="62" t="s">
        <v>564</v>
      </c>
      <c r="G90" s="63" t="s">
        <v>811</v>
      </c>
      <c r="H90" s="63" t="s">
        <v>812</v>
      </c>
      <c r="I90" s="62" t="s">
        <v>761</v>
      </c>
      <c r="J90" s="62" t="s">
        <v>482</v>
      </c>
      <c r="K90" s="62" t="s">
        <v>18</v>
      </c>
      <c r="L90" s="63" t="s">
        <v>914</v>
      </c>
      <c r="M90" s="67"/>
    </row>
    <row r="91" ht="22.5" hidden="1" customHeight="1">
      <c r="B91" s="62" t="s">
        <v>735</v>
      </c>
      <c r="C91" s="62" t="s">
        <v>880</v>
      </c>
      <c r="D91" s="63" t="s">
        <v>915</v>
      </c>
      <c r="E91" s="63" t="s">
        <v>119</v>
      </c>
      <c r="F91" s="62" t="s">
        <v>475</v>
      </c>
      <c r="G91" s="63" t="s">
        <v>780</v>
      </c>
      <c r="H91" s="63" t="s">
        <v>781</v>
      </c>
      <c r="I91" s="62" t="s">
        <v>739</v>
      </c>
      <c r="J91" s="62" t="s">
        <v>482</v>
      </c>
      <c r="K91" s="62" t="s">
        <v>18</v>
      </c>
      <c r="L91" s="63" t="s">
        <v>161</v>
      </c>
      <c r="M91" s="67"/>
    </row>
    <row r="92" ht="22.5" hidden="1" customHeight="1">
      <c r="B92" s="62" t="s">
        <v>735</v>
      </c>
      <c r="C92" s="62" t="s">
        <v>880</v>
      </c>
      <c r="D92" s="63" t="s">
        <v>916</v>
      </c>
      <c r="E92" s="63" t="s">
        <v>572</v>
      </c>
      <c r="F92" s="62" t="s">
        <v>472</v>
      </c>
      <c r="G92" s="63" t="s">
        <v>917</v>
      </c>
      <c r="H92" s="63" t="s">
        <v>866</v>
      </c>
      <c r="I92" s="62" t="s">
        <v>630</v>
      </c>
      <c r="J92" s="62" t="s">
        <v>482</v>
      </c>
      <c r="K92" s="62" t="s">
        <v>18</v>
      </c>
      <c r="L92" s="67"/>
      <c r="M92" s="67"/>
    </row>
    <row r="93" ht="22.5" customHeight="1">
      <c r="B93" s="80" t="s">
        <v>735</v>
      </c>
      <c r="C93" s="80" t="s">
        <v>880</v>
      </c>
      <c r="D93" s="81" t="s">
        <v>918</v>
      </c>
      <c r="E93" s="81" t="s">
        <v>859</v>
      </c>
      <c r="F93" s="80" t="s">
        <v>515</v>
      </c>
      <c r="G93" s="81" t="s">
        <v>831</v>
      </c>
      <c r="H93" s="81" t="s">
        <v>919</v>
      </c>
      <c r="I93" s="80" t="s">
        <v>630</v>
      </c>
      <c r="J93" s="80" t="s">
        <v>539</v>
      </c>
      <c r="K93" s="80" t="s">
        <v>18</v>
      </c>
      <c r="L93" s="81" t="s">
        <v>920</v>
      </c>
      <c r="M93" s="83"/>
    </row>
    <row r="94" ht="22.5" customHeight="1">
      <c r="B94" s="80" t="s">
        <v>735</v>
      </c>
      <c r="C94" s="80" t="s">
        <v>880</v>
      </c>
      <c r="D94" s="81" t="s">
        <v>921</v>
      </c>
      <c r="E94" s="81" t="s">
        <v>745</v>
      </c>
      <c r="F94" s="80" t="s">
        <v>475</v>
      </c>
      <c r="G94" s="81" t="s">
        <v>789</v>
      </c>
      <c r="H94" s="81" t="s">
        <v>790</v>
      </c>
      <c r="I94" s="80" t="s">
        <v>76</v>
      </c>
      <c r="J94" s="80" t="s">
        <v>539</v>
      </c>
      <c r="K94" s="80" t="s">
        <v>18</v>
      </c>
      <c r="L94" s="83"/>
      <c r="M94" s="83"/>
    </row>
  </sheetData>
  <dataValidations>
    <dataValidation type="list" allowBlank="1" sqref="C2:C94">
      <formula1>"*,USSR / CH,GE / JA,US / UK / PO,FR / CZ / SW / IT"</formula1>
    </dataValidation>
    <dataValidation type="list" allowBlank="1" sqref="I2:I94">
      <formula1>"Blocking,Critical Hits,Damage,XP,Scouting,Kills,Shots,Stun,Diff Hits"</formula1>
    </dataValidation>
    <dataValidation type="list" allowBlank="1" sqref="E2:E94">
      <formula1>"LT,HT,TD,SPG,MT,HT / TD,LT / MT,TD/HT/MT/LT,AT,TD/HT/MT/LT/AT,HT/TD,LT/MT,TD/MT/HT/LT,TD/HT/MT,TD/HT"</formula1>
    </dataValidation>
    <dataValidation type="list" allowBlank="1" showDropDown="1" showErrorMessage="1" sqref="K2:K94">
      <formula1>"N,Y"</formula1>
    </dataValidation>
    <dataValidation type="list" allowBlank="1" sqref="B2:B94">
      <formula1>"T 55A,Object 260,Chimera,Obj 279e"</formula1>
    </dataValidation>
    <dataValidation type="list" allowBlank="1" sqref="J2:J94">
      <formula1>"Honors,Primary,Completed"</formula1>
    </dataValidation>
    <dataValidation type="list" allowBlank="1" sqref="F2:F94">
      <formula1>"*****,****,***,**,*,Skip Candidate"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88"/>
  </cols>
  <sheetData>
    <row r="2">
      <c r="B2" s="1" t="s">
        <v>169</v>
      </c>
      <c r="C2" s="1" t="s">
        <v>441</v>
      </c>
      <c r="D2" s="1" t="s">
        <v>442</v>
      </c>
      <c r="E2" s="1" t="s">
        <v>16</v>
      </c>
      <c r="F2" s="1" t="s">
        <v>443</v>
      </c>
    </row>
    <row r="3">
      <c r="B3" s="1" t="s">
        <v>189</v>
      </c>
      <c r="C3" s="1" t="s">
        <v>441</v>
      </c>
      <c r="D3" s="1" t="s">
        <v>444</v>
      </c>
      <c r="E3" s="1" t="s">
        <v>16</v>
      </c>
      <c r="F3" s="1" t="s">
        <v>445</v>
      </c>
    </row>
    <row r="4">
      <c r="B4" s="1" t="s">
        <v>446</v>
      </c>
      <c r="C4" s="1" t="s">
        <v>441</v>
      </c>
      <c r="D4" s="1" t="s">
        <v>447</v>
      </c>
      <c r="E4" s="1" t="s">
        <v>448</v>
      </c>
      <c r="F4" s="1" t="s">
        <v>449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13"/>
    <col customWidth="1" min="4" max="4" width="16.25"/>
    <col customWidth="1" min="5" max="5" width="7.0"/>
    <col customWidth="1" min="6" max="6" width="6.63"/>
    <col customWidth="1" min="7" max="7" width="7.88"/>
    <col customWidth="1" min="8" max="8" width="13.75"/>
    <col customWidth="1" min="9" max="9" width="9.25"/>
    <col customWidth="1" min="10" max="10" width="8.13"/>
    <col customWidth="1" min="12" max="12" width="13.13"/>
  </cols>
  <sheetData>
    <row r="1">
      <c r="G1" s="58"/>
      <c r="H1" s="58"/>
    </row>
    <row r="2">
      <c r="C2" s="39" t="s">
        <v>460</v>
      </c>
      <c r="D2" s="39" t="s">
        <v>100</v>
      </c>
      <c r="E2" s="39" t="s">
        <v>89</v>
      </c>
      <c r="F2" s="39" t="s">
        <v>461</v>
      </c>
      <c r="G2" s="60" t="s">
        <v>103</v>
      </c>
      <c r="H2" s="60" t="s">
        <v>463</v>
      </c>
      <c r="I2" s="39" t="s">
        <v>465</v>
      </c>
      <c r="J2" s="39" t="s">
        <v>466</v>
      </c>
      <c r="L2" s="39" t="s">
        <v>467</v>
      </c>
      <c r="M2" s="61">
        <f>SUM(F3:F49)</f>
        <v>21926321</v>
      </c>
    </row>
    <row r="3">
      <c r="B3" s="1" t="s">
        <v>471</v>
      </c>
      <c r="C3" s="1" t="s">
        <v>474</v>
      </c>
      <c r="D3" s="1" t="s">
        <v>476</v>
      </c>
      <c r="E3" s="1">
        <v>463701.0</v>
      </c>
      <c r="F3" s="1">
        <v>385388.0</v>
      </c>
      <c r="G3" s="64" t="s">
        <v>477</v>
      </c>
      <c r="H3" s="65" t="s">
        <v>481</v>
      </c>
      <c r="I3" s="1">
        <v>50.0</v>
      </c>
      <c r="J3" s="1" t="s">
        <v>19</v>
      </c>
      <c r="L3" s="39" t="s">
        <v>483</v>
      </c>
      <c r="M3" s="1">
        <v>47.0</v>
      </c>
    </row>
    <row r="4">
      <c r="C4" s="1" t="s">
        <v>485</v>
      </c>
      <c r="D4" s="1" t="s">
        <v>486</v>
      </c>
      <c r="E4" s="1">
        <v>500819.0</v>
      </c>
      <c r="F4" s="1">
        <v>440432.0</v>
      </c>
      <c r="G4" s="64" t="s">
        <v>477</v>
      </c>
      <c r="H4" s="65" t="s">
        <v>481</v>
      </c>
      <c r="I4" s="1">
        <v>50.0</v>
      </c>
      <c r="J4" s="1" t="s">
        <v>18</v>
      </c>
      <c r="L4" s="39" t="s">
        <v>487</v>
      </c>
      <c r="M4" s="61">
        <f>M2/M3</f>
        <v>466517.4681</v>
      </c>
    </row>
    <row r="5">
      <c r="C5" s="1" t="s">
        <v>485</v>
      </c>
      <c r="D5" s="1" t="s">
        <v>486</v>
      </c>
      <c r="E5" s="1">
        <v>464268.0</v>
      </c>
      <c r="F5" s="1">
        <v>393697.0</v>
      </c>
      <c r="G5" s="64" t="s">
        <v>489</v>
      </c>
      <c r="H5" s="65" t="s">
        <v>481</v>
      </c>
      <c r="I5" s="1">
        <v>50.0</v>
      </c>
      <c r="J5" s="1" t="s">
        <v>18</v>
      </c>
      <c r="L5" s="39" t="s">
        <v>481</v>
      </c>
      <c r="M5" s="68">
        <f>COUNTIF(H3:H49,"General")/COUNTA(H3:H49)</f>
        <v>0.7021276596</v>
      </c>
    </row>
    <row r="6">
      <c r="C6" s="1" t="s">
        <v>485</v>
      </c>
      <c r="D6" s="1" t="s">
        <v>486</v>
      </c>
      <c r="E6" s="1">
        <v>309790.0</v>
      </c>
      <c r="F6" s="1">
        <v>264092.0</v>
      </c>
      <c r="G6" s="64" t="s">
        <v>490</v>
      </c>
      <c r="H6" s="65" t="s">
        <v>491</v>
      </c>
      <c r="I6" s="1">
        <v>50.0</v>
      </c>
      <c r="J6" s="1" t="s">
        <v>19</v>
      </c>
      <c r="L6" s="39" t="s">
        <v>492</v>
      </c>
      <c r="M6" s="1">
        <v>9.0</v>
      </c>
    </row>
    <row r="7">
      <c r="C7" s="1" t="s">
        <v>485</v>
      </c>
      <c r="D7" s="1" t="s">
        <v>486</v>
      </c>
      <c r="E7" s="1">
        <v>645399.0</v>
      </c>
      <c r="F7" s="1">
        <v>579186.0</v>
      </c>
      <c r="G7" s="64" t="s">
        <v>489</v>
      </c>
      <c r="H7" s="65" t="s">
        <v>481</v>
      </c>
      <c r="I7" s="1">
        <v>50.0</v>
      </c>
      <c r="J7" s="1" t="s">
        <v>18</v>
      </c>
    </row>
    <row r="8">
      <c r="C8" s="1" t="s">
        <v>485</v>
      </c>
      <c r="D8" s="1" t="s">
        <v>486</v>
      </c>
      <c r="E8" s="1">
        <v>421513.0</v>
      </c>
      <c r="F8" s="1">
        <v>367515.0</v>
      </c>
      <c r="G8" s="64" t="s">
        <v>493</v>
      </c>
      <c r="H8" s="65" t="s">
        <v>481</v>
      </c>
      <c r="I8" s="1">
        <v>50.0</v>
      </c>
      <c r="J8" s="1" t="s">
        <v>18</v>
      </c>
    </row>
    <row r="9">
      <c r="C9" s="1" t="s">
        <v>485</v>
      </c>
      <c r="D9" s="1" t="s">
        <v>476</v>
      </c>
      <c r="E9" s="1">
        <v>540886.0</v>
      </c>
      <c r="F9" s="1">
        <v>509646.0</v>
      </c>
      <c r="G9" s="64" t="s">
        <v>494</v>
      </c>
      <c r="H9" s="65" t="s">
        <v>495</v>
      </c>
      <c r="I9" s="1">
        <v>80.0</v>
      </c>
      <c r="J9" s="1" t="s">
        <v>19</v>
      </c>
    </row>
    <row r="10">
      <c r="C10" s="1" t="s">
        <v>474</v>
      </c>
      <c r="D10" s="1" t="s">
        <v>476</v>
      </c>
      <c r="E10" s="1">
        <v>730899.0</v>
      </c>
      <c r="F10" s="1">
        <v>645900.0</v>
      </c>
      <c r="G10" s="64" t="s">
        <v>497</v>
      </c>
      <c r="H10" s="65" t="s">
        <v>481</v>
      </c>
      <c r="I10" s="1">
        <v>80.0</v>
      </c>
      <c r="J10" s="1" t="s">
        <v>18</v>
      </c>
    </row>
    <row r="11">
      <c r="C11" s="1" t="s">
        <v>485</v>
      </c>
      <c r="D11" s="1" t="s">
        <v>486</v>
      </c>
      <c r="E11" s="1">
        <v>639016.0</v>
      </c>
      <c r="F11" s="1">
        <v>592517.0</v>
      </c>
      <c r="G11" s="64" t="s">
        <v>499</v>
      </c>
      <c r="H11" s="65" t="s">
        <v>481</v>
      </c>
      <c r="I11" s="1">
        <v>80.0</v>
      </c>
      <c r="J11" s="1" t="s">
        <v>18</v>
      </c>
    </row>
    <row r="12">
      <c r="C12" s="1" t="s">
        <v>474</v>
      </c>
      <c r="D12" s="1" t="s">
        <v>476</v>
      </c>
      <c r="E12" s="1">
        <v>551689.0</v>
      </c>
      <c r="F12" s="1">
        <v>500295.0</v>
      </c>
      <c r="G12" s="64" t="s">
        <v>490</v>
      </c>
      <c r="H12" s="65" t="s">
        <v>495</v>
      </c>
      <c r="I12" s="1">
        <v>80.0</v>
      </c>
      <c r="J12" s="1" t="s">
        <v>18</v>
      </c>
    </row>
    <row r="13">
      <c r="C13" s="1" t="s">
        <v>474</v>
      </c>
      <c r="D13" s="1" t="s">
        <v>486</v>
      </c>
      <c r="E13" s="1">
        <v>431813.0</v>
      </c>
      <c r="F13" s="1">
        <v>355219.0</v>
      </c>
      <c r="G13" s="64" t="s">
        <v>503</v>
      </c>
      <c r="H13" s="65" t="s">
        <v>495</v>
      </c>
      <c r="I13" s="1">
        <v>80.0</v>
      </c>
      <c r="J13" s="1" t="s">
        <v>18</v>
      </c>
    </row>
    <row r="14">
      <c r="C14" s="1" t="s">
        <v>474</v>
      </c>
      <c r="D14" s="1" t="s">
        <v>486</v>
      </c>
      <c r="E14" s="1">
        <v>634014.0</v>
      </c>
      <c r="F14" s="1">
        <v>560561.0</v>
      </c>
      <c r="G14" s="64" t="s">
        <v>505</v>
      </c>
      <c r="H14" s="65" t="s">
        <v>481</v>
      </c>
      <c r="I14" s="1">
        <v>50.0</v>
      </c>
      <c r="J14" s="1" t="s">
        <v>19</v>
      </c>
    </row>
    <row r="15">
      <c r="B15" s="1" t="s">
        <v>506</v>
      </c>
      <c r="C15" s="1" t="s">
        <v>485</v>
      </c>
      <c r="D15" s="1" t="s">
        <v>476</v>
      </c>
      <c r="E15" s="1">
        <v>601702.0</v>
      </c>
      <c r="F15" s="1">
        <v>523925.0</v>
      </c>
      <c r="G15" s="64" t="s">
        <v>489</v>
      </c>
      <c r="H15" s="65" t="s">
        <v>481</v>
      </c>
      <c r="I15" s="1">
        <v>50.0</v>
      </c>
      <c r="J15" s="1" t="s">
        <v>19</v>
      </c>
    </row>
    <row r="16">
      <c r="C16" s="1" t="s">
        <v>474</v>
      </c>
      <c r="D16" s="1" t="s">
        <v>476</v>
      </c>
      <c r="E16" s="1">
        <v>569375.0</v>
      </c>
      <c r="F16" s="1">
        <v>496082.0</v>
      </c>
      <c r="G16" s="64" t="s">
        <v>508</v>
      </c>
      <c r="H16" s="65" t="s">
        <v>481</v>
      </c>
      <c r="I16" s="1">
        <v>50.0</v>
      </c>
      <c r="J16" s="1" t="s">
        <v>19</v>
      </c>
    </row>
    <row r="17">
      <c r="C17" s="1" t="s">
        <v>485</v>
      </c>
      <c r="D17" s="1" t="s">
        <v>486</v>
      </c>
      <c r="E17" s="1">
        <v>379906.0</v>
      </c>
      <c r="F17" s="1">
        <v>319868.0</v>
      </c>
      <c r="G17" s="64" t="s">
        <v>503</v>
      </c>
      <c r="H17" s="65" t="s">
        <v>495</v>
      </c>
      <c r="I17" s="1">
        <v>50.0</v>
      </c>
      <c r="J17" s="1" t="s">
        <v>19</v>
      </c>
    </row>
    <row r="18">
      <c r="C18" s="1" t="s">
        <v>474</v>
      </c>
      <c r="D18" s="1" t="s">
        <v>476</v>
      </c>
      <c r="E18" s="1">
        <v>636820.0</v>
      </c>
      <c r="F18" s="1">
        <v>568426.0</v>
      </c>
      <c r="G18" s="64" t="s">
        <v>510</v>
      </c>
      <c r="H18" s="65" t="s">
        <v>481</v>
      </c>
      <c r="I18" s="1">
        <v>50.0</v>
      </c>
      <c r="J18" s="1" t="s">
        <v>19</v>
      </c>
    </row>
    <row r="19">
      <c r="C19" s="1" t="s">
        <v>474</v>
      </c>
      <c r="D19" s="1" t="s">
        <v>486</v>
      </c>
      <c r="E19" s="1">
        <v>617863.0</v>
      </c>
      <c r="F19" s="1">
        <v>539771.0</v>
      </c>
      <c r="G19" s="64" t="s">
        <v>489</v>
      </c>
      <c r="H19" s="65" t="s">
        <v>481</v>
      </c>
      <c r="I19" s="1">
        <v>50.0</v>
      </c>
      <c r="J19" s="1" t="s">
        <v>18</v>
      </c>
    </row>
    <row r="20">
      <c r="C20" s="1" t="s">
        <v>485</v>
      </c>
      <c r="D20" s="1" t="s">
        <v>476</v>
      </c>
      <c r="E20" s="1">
        <v>523978.0</v>
      </c>
      <c r="F20" s="1">
        <v>463715.0</v>
      </c>
      <c r="G20" s="64" t="s">
        <v>512</v>
      </c>
      <c r="H20" s="65" t="s">
        <v>481</v>
      </c>
      <c r="I20" s="1">
        <v>80.0</v>
      </c>
      <c r="J20" s="1" t="s">
        <v>19</v>
      </c>
    </row>
    <row r="21">
      <c r="C21" s="1" t="s">
        <v>474</v>
      </c>
      <c r="D21" s="1" t="s">
        <v>486</v>
      </c>
      <c r="E21" s="1">
        <v>486638.0</v>
      </c>
      <c r="F21" s="1">
        <v>432879.0</v>
      </c>
      <c r="G21" s="64" t="s">
        <v>514</v>
      </c>
      <c r="H21" s="65" t="s">
        <v>481</v>
      </c>
      <c r="I21" s="1">
        <v>80.0</v>
      </c>
      <c r="J21" s="1" t="s">
        <v>18</v>
      </c>
    </row>
    <row r="22">
      <c r="C22" s="1" t="s">
        <v>474</v>
      </c>
      <c r="D22" s="1" t="s">
        <v>486</v>
      </c>
      <c r="E22" s="1">
        <v>755535.0</v>
      </c>
      <c r="F22" s="1">
        <v>674391.0</v>
      </c>
      <c r="G22" s="64" t="s">
        <v>512</v>
      </c>
      <c r="H22" s="65" t="s">
        <v>481</v>
      </c>
      <c r="I22" s="1">
        <v>80.0</v>
      </c>
      <c r="J22" s="1" t="s">
        <v>19</v>
      </c>
    </row>
    <row r="23">
      <c r="C23" s="1" t="s">
        <v>485</v>
      </c>
      <c r="D23" s="1" t="s">
        <v>476</v>
      </c>
      <c r="E23" s="1">
        <v>648996.0</v>
      </c>
      <c r="F23" s="1">
        <v>593555.0</v>
      </c>
      <c r="G23" s="64" t="s">
        <v>514</v>
      </c>
      <c r="H23" s="65" t="s">
        <v>481</v>
      </c>
      <c r="I23" s="1">
        <v>80.0</v>
      </c>
      <c r="J23" s="1" t="s">
        <v>18</v>
      </c>
    </row>
    <row r="24">
      <c r="C24" s="1" t="s">
        <v>485</v>
      </c>
      <c r="D24" s="1" t="s">
        <v>518</v>
      </c>
      <c r="E24" s="1">
        <v>667461.0</v>
      </c>
      <c r="F24" s="1">
        <v>598728.0</v>
      </c>
      <c r="G24" s="64" t="s">
        <v>503</v>
      </c>
      <c r="H24" s="65" t="s">
        <v>481</v>
      </c>
      <c r="I24" s="1">
        <v>80.0</v>
      </c>
      <c r="J24" s="1" t="s">
        <v>18</v>
      </c>
    </row>
    <row r="25">
      <c r="B25" s="1" t="s">
        <v>519</v>
      </c>
      <c r="C25" s="1" t="s">
        <v>474</v>
      </c>
      <c r="D25" s="1" t="s">
        <v>476</v>
      </c>
      <c r="E25" s="1">
        <v>285686.0</v>
      </c>
      <c r="F25" s="1">
        <v>227929.0</v>
      </c>
      <c r="G25" s="64" t="s">
        <v>503</v>
      </c>
      <c r="H25" s="65" t="s">
        <v>495</v>
      </c>
      <c r="I25" s="1">
        <v>0.0</v>
      </c>
      <c r="J25" s="1" t="s">
        <v>19</v>
      </c>
    </row>
    <row r="26">
      <c r="B26" s="1"/>
      <c r="C26" s="1" t="s">
        <v>485</v>
      </c>
      <c r="D26" s="1" t="s">
        <v>518</v>
      </c>
      <c r="E26" s="1">
        <v>510767.0</v>
      </c>
      <c r="F26" s="1">
        <v>447303.0</v>
      </c>
      <c r="G26" s="64" t="s">
        <v>489</v>
      </c>
      <c r="H26" s="65" t="s">
        <v>481</v>
      </c>
      <c r="I26" s="1">
        <v>50.0</v>
      </c>
      <c r="J26" s="1" t="s">
        <v>18</v>
      </c>
    </row>
    <row r="27">
      <c r="B27" s="1"/>
      <c r="C27" s="1" t="s">
        <v>485</v>
      </c>
      <c r="D27" s="1" t="s">
        <v>518</v>
      </c>
      <c r="E27" s="1">
        <v>557880.0</v>
      </c>
      <c r="F27" s="1">
        <v>494566.0</v>
      </c>
      <c r="G27" s="64" t="s">
        <v>477</v>
      </c>
      <c r="H27" s="65" t="s">
        <v>481</v>
      </c>
      <c r="I27" s="1">
        <v>50.0</v>
      </c>
      <c r="J27" s="1" t="s">
        <v>18</v>
      </c>
    </row>
    <row r="28">
      <c r="B28" s="1"/>
      <c r="C28" s="1" t="s">
        <v>474</v>
      </c>
      <c r="D28" s="1" t="s">
        <v>486</v>
      </c>
      <c r="E28" s="1">
        <v>432192.0</v>
      </c>
      <c r="F28" s="1">
        <v>375494.0</v>
      </c>
      <c r="G28" s="64" t="s">
        <v>527</v>
      </c>
      <c r="H28" s="65" t="s">
        <v>495</v>
      </c>
      <c r="I28" s="1">
        <v>50.0</v>
      </c>
      <c r="J28" s="1" t="s">
        <v>18</v>
      </c>
    </row>
    <row r="29">
      <c r="B29" s="1"/>
      <c r="C29" s="1" t="s">
        <v>485</v>
      </c>
      <c r="D29" s="1" t="s">
        <v>476</v>
      </c>
      <c r="E29" s="1">
        <v>534333.0</v>
      </c>
      <c r="F29" s="1">
        <v>462237.0</v>
      </c>
      <c r="G29" s="64" t="s">
        <v>528</v>
      </c>
      <c r="H29" s="65" t="s">
        <v>481</v>
      </c>
      <c r="I29" s="1">
        <v>50.0</v>
      </c>
      <c r="J29" s="1" t="s">
        <v>19</v>
      </c>
    </row>
    <row r="30">
      <c r="B30" s="1"/>
      <c r="C30" s="1" t="s">
        <v>474</v>
      </c>
      <c r="D30" s="1" t="s">
        <v>476</v>
      </c>
      <c r="E30" s="1">
        <v>406816.0</v>
      </c>
      <c r="F30" s="1">
        <v>345479.0</v>
      </c>
      <c r="G30" s="64" t="s">
        <v>529</v>
      </c>
      <c r="H30" s="65" t="s">
        <v>491</v>
      </c>
      <c r="I30" s="1">
        <v>50.0</v>
      </c>
      <c r="J30" s="1" t="s">
        <v>18</v>
      </c>
    </row>
    <row r="31">
      <c r="B31" s="1"/>
      <c r="C31" s="1" t="s">
        <v>485</v>
      </c>
      <c r="D31" s="1" t="s">
        <v>486</v>
      </c>
      <c r="E31" s="1">
        <v>624845.0</v>
      </c>
      <c r="F31" s="1">
        <v>560877.0</v>
      </c>
      <c r="G31" s="64" t="s">
        <v>529</v>
      </c>
      <c r="H31" s="65" t="s">
        <v>481</v>
      </c>
      <c r="I31" s="1">
        <v>50.0</v>
      </c>
      <c r="J31" s="1" t="s">
        <v>18</v>
      </c>
    </row>
    <row r="32">
      <c r="B32" s="1"/>
      <c r="C32" s="1" t="s">
        <v>485</v>
      </c>
      <c r="D32" s="1" t="s">
        <v>486</v>
      </c>
      <c r="E32" s="1">
        <v>488957.0</v>
      </c>
      <c r="F32" s="1">
        <v>431067.0</v>
      </c>
      <c r="G32" s="64" t="s">
        <v>489</v>
      </c>
      <c r="H32" s="65" t="s">
        <v>481</v>
      </c>
      <c r="I32" s="1">
        <v>50.0</v>
      </c>
      <c r="J32" s="1" t="s">
        <v>18</v>
      </c>
    </row>
    <row r="33">
      <c r="B33" s="1"/>
      <c r="C33" s="1" t="s">
        <v>485</v>
      </c>
      <c r="D33" s="1" t="s">
        <v>518</v>
      </c>
      <c r="E33" s="1">
        <v>527074.0</v>
      </c>
      <c r="F33" s="1">
        <v>466255.0</v>
      </c>
      <c r="G33" s="64" t="s">
        <v>489</v>
      </c>
      <c r="H33" s="65" t="s">
        <v>481</v>
      </c>
      <c r="I33" s="1">
        <v>50.0</v>
      </c>
      <c r="J33" s="1" t="s">
        <v>18</v>
      </c>
    </row>
    <row r="34">
      <c r="B34" s="1"/>
      <c r="C34" s="1" t="s">
        <v>474</v>
      </c>
      <c r="D34" s="1" t="s">
        <v>518</v>
      </c>
      <c r="E34" s="1">
        <v>692301.0</v>
      </c>
      <c r="F34" s="1">
        <v>598131.0</v>
      </c>
      <c r="G34" s="64" t="s">
        <v>530</v>
      </c>
      <c r="H34" s="65" t="s">
        <v>481</v>
      </c>
      <c r="I34" s="1">
        <v>50.0</v>
      </c>
      <c r="J34" s="1" t="s">
        <v>18</v>
      </c>
    </row>
    <row r="35">
      <c r="B35" s="1" t="s">
        <v>531</v>
      </c>
      <c r="C35" s="1" t="s">
        <v>474</v>
      </c>
      <c r="D35" s="1" t="s">
        <v>518</v>
      </c>
      <c r="E35" s="1">
        <v>527925.0</v>
      </c>
      <c r="F35" s="1">
        <v>468177.0</v>
      </c>
      <c r="G35" s="64" t="s">
        <v>493</v>
      </c>
      <c r="H35" s="65" t="s">
        <v>481</v>
      </c>
      <c r="I35" s="1">
        <v>50.0</v>
      </c>
      <c r="J35" s="1" t="s">
        <v>19</v>
      </c>
    </row>
    <row r="36">
      <c r="B36" s="1"/>
      <c r="C36" s="1" t="s">
        <v>474</v>
      </c>
      <c r="D36" s="1" t="s">
        <v>486</v>
      </c>
      <c r="E36" s="1">
        <v>591493.0</v>
      </c>
      <c r="F36" s="1">
        <v>512677.0</v>
      </c>
      <c r="G36" s="64" t="s">
        <v>489</v>
      </c>
      <c r="H36" s="65" t="s">
        <v>481</v>
      </c>
      <c r="I36" s="1">
        <v>50.0</v>
      </c>
      <c r="J36" s="1" t="s">
        <v>19</v>
      </c>
    </row>
    <row r="37">
      <c r="B37" s="1"/>
      <c r="C37" s="1" t="s">
        <v>485</v>
      </c>
      <c r="D37" s="1" t="s">
        <v>518</v>
      </c>
      <c r="E37" s="1">
        <v>536937.0</v>
      </c>
      <c r="F37" s="1">
        <v>474799.0</v>
      </c>
      <c r="G37" s="64" t="s">
        <v>534</v>
      </c>
      <c r="H37" s="65" t="s">
        <v>481</v>
      </c>
      <c r="I37" s="1">
        <v>50.0</v>
      </c>
      <c r="J37" s="1" t="s">
        <v>18</v>
      </c>
    </row>
    <row r="38">
      <c r="B38" s="1"/>
      <c r="C38" s="1" t="s">
        <v>474</v>
      </c>
      <c r="D38" s="1" t="s">
        <v>486</v>
      </c>
      <c r="E38" s="1">
        <v>777856.0</v>
      </c>
      <c r="F38" s="1">
        <v>698464.0</v>
      </c>
      <c r="G38" s="64" t="s">
        <v>537</v>
      </c>
      <c r="H38" s="65" t="s">
        <v>481</v>
      </c>
      <c r="I38" s="1">
        <v>80.0</v>
      </c>
      <c r="J38" s="1" t="s">
        <v>19</v>
      </c>
    </row>
    <row r="39">
      <c r="B39" s="1"/>
      <c r="C39" s="1" t="s">
        <v>474</v>
      </c>
      <c r="D39" s="1" t="s">
        <v>486</v>
      </c>
      <c r="E39" s="1">
        <v>615528.0</v>
      </c>
      <c r="F39" s="1">
        <v>563918.0</v>
      </c>
      <c r="G39" s="64" t="s">
        <v>540</v>
      </c>
      <c r="H39" s="65" t="s">
        <v>481</v>
      </c>
      <c r="I39" s="1">
        <v>80.0</v>
      </c>
      <c r="J39" s="1" t="s">
        <v>18</v>
      </c>
    </row>
    <row r="40">
      <c r="B40" s="1"/>
      <c r="C40" s="1" t="s">
        <v>474</v>
      </c>
      <c r="D40" s="1" t="s">
        <v>476</v>
      </c>
      <c r="E40" s="1">
        <v>508695.0</v>
      </c>
      <c r="F40" s="1">
        <v>434681.0</v>
      </c>
      <c r="G40" s="64" t="s">
        <v>542</v>
      </c>
      <c r="H40" s="65" t="s">
        <v>495</v>
      </c>
      <c r="I40" s="1">
        <v>80.0</v>
      </c>
      <c r="J40" s="1" t="s">
        <v>19</v>
      </c>
    </row>
    <row r="41">
      <c r="B41" s="1"/>
      <c r="C41" s="1" t="s">
        <v>485</v>
      </c>
      <c r="D41" s="1" t="s">
        <v>486</v>
      </c>
      <c r="E41" s="1">
        <v>672545.0</v>
      </c>
      <c r="F41" s="1">
        <v>609690.0</v>
      </c>
      <c r="G41" s="64" t="s">
        <v>499</v>
      </c>
      <c r="H41" s="65" t="s">
        <v>481</v>
      </c>
      <c r="I41" s="1">
        <v>80.0</v>
      </c>
      <c r="J41" s="1" t="s">
        <v>18</v>
      </c>
    </row>
    <row r="42">
      <c r="B42" s="1"/>
      <c r="C42" s="1" t="s">
        <v>474</v>
      </c>
      <c r="D42" s="1" t="s">
        <v>476</v>
      </c>
      <c r="E42" s="1">
        <v>376389.0</v>
      </c>
      <c r="F42" s="1">
        <v>327392.0</v>
      </c>
      <c r="G42" s="64" t="s">
        <v>544</v>
      </c>
      <c r="H42" s="65" t="s">
        <v>491</v>
      </c>
      <c r="I42" s="1">
        <v>80.0</v>
      </c>
      <c r="J42" s="1" t="s">
        <v>18</v>
      </c>
    </row>
    <row r="43">
      <c r="B43" s="1"/>
      <c r="C43" s="1" t="s">
        <v>485</v>
      </c>
      <c r="D43" s="1" t="s">
        <v>476</v>
      </c>
      <c r="E43" s="1">
        <v>462348.0</v>
      </c>
      <c r="F43" s="1">
        <v>397285.0</v>
      </c>
      <c r="G43" s="64" t="s">
        <v>514</v>
      </c>
      <c r="H43" s="65" t="s">
        <v>481</v>
      </c>
      <c r="I43" s="1">
        <v>80.0</v>
      </c>
      <c r="J43" s="1" t="s">
        <v>18</v>
      </c>
    </row>
    <row r="44">
      <c r="B44" s="1"/>
      <c r="C44" s="1" t="s">
        <v>485</v>
      </c>
      <c r="D44" s="1" t="s">
        <v>518</v>
      </c>
      <c r="E44" s="1">
        <v>283559.0</v>
      </c>
      <c r="F44" s="1">
        <v>226522.0</v>
      </c>
      <c r="G44" s="64" t="s">
        <v>503</v>
      </c>
      <c r="H44" s="65" t="s">
        <v>495</v>
      </c>
      <c r="I44" s="1">
        <v>0.0</v>
      </c>
      <c r="J44" s="1" t="s">
        <v>19</v>
      </c>
    </row>
    <row r="45">
      <c r="B45" s="1"/>
      <c r="C45" s="1" t="s">
        <v>485</v>
      </c>
      <c r="D45" s="1" t="s">
        <v>476</v>
      </c>
      <c r="E45" s="1">
        <v>470912.0</v>
      </c>
      <c r="F45" s="1">
        <v>379262.0</v>
      </c>
      <c r="G45" s="64" t="s">
        <v>503</v>
      </c>
      <c r="H45" s="65" t="s">
        <v>495</v>
      </c>
      <c r="I45" s="1">
        <v>50.0</v>
      </c>
      <c r="J45" s="1" t="s">
        <v>19</v>
      </c>
    </row>
    <row r="46">
      <c r="B46" s="1"/>
      <c r="C46" s="1" t="s">
        <v>474</v>
      </c>
      <c r="D46" s="1" t="s">
        <v>486</v>
      </c>
      <c r="E46" s="1">
        <v>539555.0</v>
      </c>
      <c r="F46" s="1">
        <v>493172.0</v>
      </c>
      <c r="G46" s="64" t="s">
        <v>544</v>
      </c>
      <c r="H46" s="65" t="s">
        <v>481</v>
      </c>
      <c r="I46" s="1">
        <v>50.0</v>
      </c>
      <c r="J46" s="1" t="s">
        <v>18</v>
      </c>
    </row>
    <row r="47">
      <c r="B47" s="1"/>
      <c r="C47" s="1" t="s">
        <v>485</v>
      </c>
      <c r="D47" s="1" t="s">
        <v>476</v>
      </c>
      <c r="E47" s="1">
        <v>452867.0</v>
      </c>
      <c r="F47" s="1">
        <v>401329.0</v>
      </c>
      <c r="G47" s="64" t="s">
        <v>503</v>
      </c>
      <c r="H47" s="65" t="s">
        <v>495</v>
      </c>
      <c r="I47" s="1">
        <v>50.0</v>
      </c>
      <c r="J47" s="1" t="s">
        <v>18</v>
      </c>
    </row>
    <row r="48">
      <c r="B48" s="1" t="s">
        <v>545</v>
      </c>
      <c r="C48" s="1" t="s">
        <v>485</v>
      </c>
      <c r="D48" s="1" t="s">
        <v>476</v>
      </c>
      <c r="E48" s="1">
        <v>534403.0</v>
      </c>
      <c r="F48" s="1">
        <v>470610.0</v>
      </c>
      <c r="G48" s="64" t="s">
        <v>542</v>
      </c>
      <c r="H48" s="65" t="s">
        <v>481</v>
      </c>
      <c r="I48" s="1">
        <v>50.0</v>
      </c>
      <c r="J48" s="1" t="s">
        <v>19</v>
      </c>
    </row>
    <row r="49">
      <c r="B49" s="1"/>
      <c r="C49" s="1" t="s">
        <v>485</v>
      </c>
      <c r="D49" s="1" t="s">
        <v>486</v>
      </c>
      <c r="E49" s="1">
        <v>313790.0</v>
      </c>
      <c r="F49" s="1">
        <v>253217.0</v>
      </c>
      <c r="G49" s="64" t="s">
        <v>514</v>
      </c>
      <c r="H49" s="65" t="s">
        <v>495</v>
      </c>
      <c r="I49" s="1">
        <v>50.0</v>
      </c>
      <c r="J49" s="1" t="s">
        <v>19</v>
      </c>
    </row>
    <row r="50">
      <c r="C50" s="1"/>
      <c r="G50" s="58"/>
      <c r="H50" s="58"/>
    </row>
    <row r="51">
      <c r="B51" s="73">
        <v>46143.0</v>
      </c>
      <c r="G51" s="58"/>
      <c r="H51" s="58"/>
    </row>
    <row r="52">
      <c r="G52" s="58"/>
      <c r="H52" s="58"/>
    </row>
    <row r="53">
      <c r="C53" s="39" t="s">
        <v>460</v>
      </c>
      <c r="D53" s="39" t="s">
        <v>100</v>
      </c>
      <c r="E53" s="39" t="s">
        <v>89</v>
      </c>
      <c r="F53" s="39" t="s">
        <v>461</v>
      </c>
      <c r="G53" s="60" t="s">
        <v>103</v>
      </c>
      <c r="H53" s="60" t="s">
        <v>463</v>
      </c>
      <c r="I53" s="39" t="s">
        <v>465</v>
      </c>
      <c r="J53" s="39" t="s">
        <v>466</v>
      </c>
      <c r="L53" s="39" t="s">
        <v>467</v>
      </c>
      <c r="M53" s="61">
        <f>SUM(F53:F80)</f>
        <v>11289062</v>
      </c>
    </row>
    <row r="54">
      <c r="A54" s="1"/>
      <c r="B54" s="1" t="s">
        <v>471</v>
      </c>
      <c r="C54" s="1" t="s">
        <v>485</v>
      </c>
      <c r="D54" s="1" t="s">
        <v>518</v>
      </c>
      <c r="E54" s="1">
        <v>499773.0</v>
      </c>
      <c r="F54" s="1">
        <v>433562.0</v>
      </c>
      <c r="G54" s="64" t="s">
        <v>493</v>
      </c>
      <c r="H54" s="65" t="s">
        <v>481</v>
      </c>
      <c r="I54" s="1">
        <v>50.0</v>
      </c>
      <c r="J54" s="1" t="s">
        <v>19</v>
      </c>
      <c r="L54" s="39" t="s">
        <v>483</v>
      </c>
      <c r="M54" s="1">
        <v>27.0</v>
      </c>
    </row>
    <row r="55">
      <c r="A55" s="1"/>
      <c r="B55" s="1"/>
      <c r="C55" s="1" t="s">
        <v>474</v>
      </c>
      <c r="D55" s="1" t="s">
        <v>476</v>
      </c>
      <c r="E55" s="1">
        <v>557882.0</v>
      </c>
      <c r="F55" s="1">
        <v>463453.0</v>
      </c>
      <c r="G55" s="64" t="s">
        <v>493</v>
      </c>
      <c r="H55" s="65" t="s">
        <v>481</v>
      </c>
      <c r="I55" s="1">
        <v>50.0</v>
      </c>
      <c r="J55" s="1" t="s">
        <v>19</v>
      </c>
      <c r="L55" s="39" t="s">
        <v>487</v>
      </c>
      <c r="M55" s="61">
        <f>M53/M54</f>
        <v>418113.4074</v>
      </c>
    </row>
    <row r="56">
      <c r="A56" s="1"/>
      <c r="B56" s="1"/>
      <c r="C56" s="1" t="s">
        <v>474</v>
      </c>
      <c r="D56" s="1" t="s">
        <v>486</v>
      </c>
      <c r="E56" s="41">
        <v>528383.0</v>
      </c>
      <c r="F56" s="1">
        <v>451863.0</v>
      </c>
      <c r="G56" s="64" t="s">
        <v>489</v>
      </c>
      <c r="H56" s="65" t="s">
        <v>481</v>
      </c>
      <c r="I56" s="1">
        <v>50.0</v>
      </c>
      <c r="J56" s="1" t="s">
        <v>19</v>
      </c>
      <c r="L56" s="39" t="s">
        <v>481</v>
      </c>
      <c r="M56" s="68">
        <f>COUNTIF(H54:H80,"General")/COUNTA(H54:H80)</f>
        <v>0.5925925926</v>
      </c>
    </row>
    <row r="57">
      <c r="A57" s="1"/>
      <c r="B57" s="1"/>
      <c r="C57" s="1" t="s">
        <v>485</v>
      </c>
      <c r="D57" s="1" t="s">
        <v>476</v>
      </c>
      <c r="E57" s="41">
        <v>456428.0</v>
      </c>
      <c r="F57" s="1">
        <v>358859.0</v>
      </c>
      <c r="G57" s="64" t="s">
        <v>553</v>
      </c>
      <c r="H57" s="65" t="s">
        <v>481</v>
      </c>
      <c r="I57" s="1">
        <v>50.0</v>
      </c>
      <c r="J57" s="1" t="s">
        <v>19</v>
      </c>
      <c r="L57" s="39" t="s">
        <v>492</v>
      </c>
      <c r="M57" s="64" t="s">
        <v>554</v>
      </c>
    </row>
    <row r="58">
      <c r="A58" s="1"/>
      <c r="B58" s="1"/>
      <c r="C58" s="1" t="s">
        <v>474</v>
      </c>
      <c r="D58" s="1" t="s">
        <v>476</v>
      </c>
      <c r="E58" s="41">
        <v>421456.0</v>
      </c>
      <c r="F58" s="1">
        <v>364959.0</v>
      </c>
      <c r="G58" s="64" t="s">
        <v>490</v>
      </c>
      <c r="H58" s="65" t="s">
        <v>495</v>
      </c>
      <c r="I58" s="1">
        <v>50.0</v>
      </c>
      <c r="J58" s="1" t="s">
        <v>19</v>
      </c>
      <c r="L58" s="39"/>
      <c r="M58" s="61"/>
    </row>
    <row r="59">
      <c r="A59" s="1"/>
      <c r="B59" s="1"/>
      <c r="C59" s="1" t="s">
        <v>485</v>
      </c>
      <c r="D59" s="1" t="s">
        <v>486</v>
      </c>
      <c r="E59" s="41">
        <v>599466.0</v>
      </c>
      <c r="F59" s="1">
        <v>497269.0</v>
      </c>
      <c r="G59" s="64" t="s">
        <v>555</v>
      </c>
      <c r="H59" s="65" t="s">
        <v>481</v>
      </c>
      <c r="I59" s="1">
        <v>50.0</v>
      </c>
      <c r="J59" s="1" t="s">
        <v>19</v>
      </c>
      <c r="L59" s="39"/>
      <c r="M59" s="61"/>
    </row>
    <row r="60">
      <c r="A60" s="1"/>
      <c r="B60" s="1" t="s">
        <v>506</v>
      </c>
      <c r="C60" s="1" t="s">
        <v>474</v>
      </c>
      <c r="D60" s="1" t="s">
        <v>518</v>
      </c>
      <c r="E60" s="41">
        <v>555601.0</v>
      </c>
      <c r="F60" s="1">
        <v>460315.0</v>
      </c>
      <c r="G60" s="64" t="s">
        <v>489</v>
      </c>
      <c r="H60" s="65" t="s">
        <v>481</v>
      </c>
      <c r="I60" s="1">
        <v>50.0</v>
      </c>
      <c r="J60" s="1" t="s">
        <v>19</v>
      </c>
      <c r="L60" s="39"/>
      <c r="M60" s="61"/>
    </row>
    <row r="61">
      <c r="A61" s="1"/>
      <c r="B61" s="1"/>
      <c r="C61" s="1" t="s">
        <v>474</v>
      </c>
      <c r="D61" s="1" t="s">
        <v>518</v>
      </c>
      <c r="E61" s="41">
        <v>515002.0</v>
      </c>
      <c r="F61" s="1">
        <v>449177.0</v>
      </c>
      <c r="G61" s="64" t="s">
        <v>477</v>
      </c>
      <c r="H61" s="65" t="s">
        <v>481</v>
      </c>
      <c r="I61" s="1">
        <v>50.0</v>
      </c>
      <c r="J61" s="1" t="s">
        <v>19</v>
      </c>
      <c r="L61" s="39"/>
      <c r="M61" s="61"/>
    </row>
    <row r="62">
      <c r="A62" s="1"/>
      <c r="B62" s="1"/>
      <c r="C62" s="1" t="s">
        <v>485</v>
      </c>
      <c r="D62" s="1" t="s">
        <v>476</v>
      </c>
      <c r="E62" s="41">
        <v>324324.0</v>
      </c>
      <c r="F62" s="1">
        <v>249370.0</v>
      </c>
      <c r="G62" s="64" t="s">
        <v>556</v>
      </c>
      <c r="H62" s="65" t="s">
        <v>491</v>
      </c>
      <c r="I62" s="1">
        <v>50.0</v>
      </c>
      <c r="J62" s="1" t="s">
        <v>19</v>
      </c>
      <c r="L62" s="39"/>
      <c r="M62" s="61"/>
    </row>
    <row r="63">
      <c r="A63" s="1"/>
      <c r="B63" s="1" t="s">
        <v>519</v>
      </c>
      <c r="C63" s="1" t="s">
        <v>485</v>
      </c>
      <c r="D63" s="1" t="s">
        <v>476</v>
      </c>
      <c r="E63" s="41">
        <v>456737.0</v>
      </c>
      <c r="F63" s="1">
        <v>380750.0</v>
      </c>
      <c r="G63" s="64" t="s">
        <v>542</v>
      </c>
      <c r="H63" s="65" t="s">
        <v>481</v>
      </c>
      <c r="I63" s="1">
        <v>50.0</v>
      </c>
      <c r="J63" s="1" t="s">
        <v>19</v>
      </c>
      <c r="L63" s="39"/>
      <c r="M63" s="61"/>
    </row>
    <row r="64">
      <c r="A64" s="1"/>
      <c r="B64" s="1"/>
      <c r="C64" s="1" t="s">
        <v>485</v>
      </c>
      <c r="D64" s="1" t="s">
        <v>476</v>
      </c>
      <c r="E64" s="41">
        <v>280764.0</v>
      </c>
      <c r="F64" s="1">
        <v>212879.0</v>
      </c>
      <c r="G64" s="64" t="s">
        <v>544</v>
      </c>
      <c r="H64" s="65" t="s">
        <v>491</v>
      </c>
      <c r="I64" s="1">
        <v>50.0</v>
      </c>
      <c r="J64" s="1" t="s">
        <v>19</v>
      </c>
      <c r="L64" s="39"/>
      <c r="M64" s="61"/>
    </row>
    <row r="65">
      <c r="A65" s="1"/>
      <c r="B65" s="1"/>
      <c r="C65" s="1" t="s">
        <v>474</v>
      </c>
      <c r="D65" s="1" t="s">
        <v>486</v>
      </c>
      <c r="E65" s="41">
        <v>309105.0</v>
      </c>
      <c r="F65" s="1">
        <v>251616.0</v>
      </c>
      <c r="G65" s="64" t="s">
        <v>490</v>
      </c>
      <c r="H65" s="65" t="s">
        <v>491</v>
      </c>
      <c r="I65" s="1">
        <v>50.0</v>
      </c>
      <c r="J65" s="1" t="s">
        <v>19</v>
      </c>
      <c r="L65" s="39"/>
      <c r="M65" s="61"/>
    </row>
    <row r="66">
      <c r="A66" s="1"/>
      <c r="B66" s="1" t="s">
        <v>531</v>
      </c>
      <c r="C66" s="1" t="s">
        <v>485</v>
      </c>
      <c r="D66" s="1" t="s">
        <v>486</v>
      </c>
      <c r="E66" s="41">
        <v>452584.0</v>
      </c>
      <c r="F66" s="1">
        <v>396709.0</v>
      </c>
      <c r="G66" s="64" t="s">
        <v>557</v>
      </c>
      <c r="H66" s="65" t="s">
        <v>495</v>
      </c>
      <c r="I66" s="1">
        <v>50.0</v>
      </c>
      <c r="J66" s="1" t="s">
        <v>19</v>
      </c>
      <c r="L66" s="39"/>
      <c r="M66" s="61"/>
    </row>
    <row r="67">
      <c r="A67" s="1"/>
      <c r="B67" s="1"/>
      <c r="C67" s="1" t="s">
        <v>474</v>
      </c>
      <c r="D67" s="1" t="s">
        <v>476</v>
      </c>
      <c r="E67" s="41">
        <v>558849.0</v>
      </c>
      <c r="F67" s="1">
        <v>465988.0</v>
      </c>
      <c r="G67" s="64" t="s">
        <v>489</v>
      </c>
      <c r="H67" s="65" t="s">
        <v>481</v>
      </c>
      <c r="I67" s="1">
        <v>50.0</v>
      </c>
      <c r="J67" s="1" t="s">
        <v>19</v>
      </c>
      <c r="L67" s="39"/>
      <c r="M67" s="61"/>
    </row>
    <row r="68">
      <c r="A68" s="1"/>
      <c r="B68" s="1"/>
      <c r="C68" s="1" t="s">
        <v>474</v>
      </c>
      <c r="D68" s="1" t="s">
        <v>476</v>
      </c>
      <c r="E68" s="41">
        <v>622986.0</v>
      </c>
      <c r="F68" s="1">
        <v>540106.0</v>
      </c>
      <c r="G68" s="64" t="s">
        <v>529</v>
      </c>
      <c r="H68" s="65" t="s">
        <v>481</v>
      </c>
      <c r="I68" s="1">
        <v>50.0</v>
      </c>
      <c r="J68" s="1" t="s">
        <v>19</v>
      </c>
      <c r="L68" s="39"/>
      <c r="M68" s="61"/>
    </row>
    <row r="69">
      <c r="A69" s="1"/>
      <c r="B69" s="1"/>
      <c r="C69" s="1" t="s">
        <v>485</v>
      </c>
      <c r="D69" s="1" t="s">
        <v>518</v>
      </c>
      <c r="E69" s="41">
        <v>760160.0</v>
      </c>
      <c r="F69" s="1">
        <v>665844.0</v>
      </c>
      <c r="G69" s="64" t="s">
        <v>537</v>
      </c>
      <c r="H69" s="65" t="s">
        <v>481</v>
      </c>
      <c r="I69" s="1">
        <v>80.0</v>
      </c>
      <c r="J69" s="1" t="s">
        <v>19</v>
      </c>
      <c r="L69" s="39"/>
      <c r="M69" s="61"/>
    </row>
    <row r="70">
      <c r="A70" s="1"/>
      <c r="B70" s="1"/>
      <c r="C70" s="1" t="s">
        <v>485</v>
      </c>
      <c r="D70" s="1" t="s">
        <v>518</v>
      </c>
      <c r="E70" s="41">
        <v>384423.0</v>
      </c>
      <c r="F70" s="1">
        <v>327479.0</v>
      </c>
      <c r="G70" s="64" t="s">
        <v>559</v>
      </c>
      <c r="H70" s="65" t="s">
        <v>561</v>
      </c>
      <c r="I70" s="1">
        <v>80.0</v>
      </c>
      <c r="J70" s="1" t="s">
        <v>19</v>
      </c>
      <c r="L70" s="39"/>
      <c r="M70" s="61"/>
    </row>
    <row r="71">
      <c r="A71" s="1"/>
      <c r="B71" s="1"/>
      <c r="C71" s="1" t="s">
        <v>474</v>
      </c>
      <c r="D71" s="1" t="s">
        <v>476</v>
      </c>
      <c r="E71" s="41">
        <v>344624.0</v>
      </c>
      <c r="F71" s="1">
        <v>297597.0</v>
      </c>
      <c r="G71" s="64" t="s">
        <v>542</v>
      </c>
      <c r="H71" s="65" t="s">
        <v>561</v>
      </c>
      <c r="I71" s="1">
        <v>80.0</v>
      </c>
      <c r="J71" s="1" t="s">
        <v>19</v>
      </c>
      <c r="L71" s="39"/>
      <c r="M71" s="61"/>
    </row>
    <row r="72">
      <c r="A72" s="1"/>
      <c r="B72" s="1"/>
      <c r="C72" s="1" t="s">
        <v>485</v>
      </c>
      <c r="D72" s="1" t="s">
        <v>518</v>
      </c>
      <c r="E72" s="41">
        <v>475151.0</v>
      </c>
      <c r="F72" s="1">
        <v>427483.0</v>
      </c>
      <c r="G72" s="64" t="s">
        <v>556</v>
      </c>
      <c r="H72" s="65" t="s">
        <v>495</v>
      </c>
      <c r="I72" s="1">
        <v>80.0</v>
      </c>
      <c r="J72" s="1" t="s">
        <v>19</v>
      </c>
      <c r="L72" s="39"/>
      <c r="M72" s="61"/>
    </row>
    <row r="73">
      <c r="A73" s="1"/>
      <c r="B73" s="1"/>
      <c r="C73" s="1" t="s">
        <v>485</v>
      </c>
      <c r="D73" s="1" t="s">
        <v>486</v>
      </c>
      <c r="E73" s="41">
        <v>539133.0</v>
      </c>
      <c r="F73" s="1">
        <v>453781.0</v>
      </c>
      <c r="G73" s="64" t="s">
        <v>489</v>
      </c>
      <c r="H73" s="65" t="s">
        <v>481</v>
      </c>
      <c r="I73" s="1">
        <v>80.0</v>
      </c>
      <c r="J73" s="1" t="s">
        <v>19</v>
      </c>
      <c r="L73" s="39"/>
      <c r="M73" s="61"/>
    </row>
    <row r="74">
      <c r="A74" s="1"/>
      <c r="B74" s="1"/>
      <c r="C74" s="1" t="s">
        <v>474</v>
      </c>
      <c r="D74" s="1" t="s">
        <v>518</v>
      </c>
      <c r="E74" s="41">
        <v>569761.0</v>
      </c>
      <c r="F74" s="1">
        <v>485468.0</v>
      </c>
      <c r="G74" s="64" t="s">
        <v>537</v>
      </c>
      <c r="H74" s="65" t="s">
        <v>481</v>
      </c>
      <c r="I74" s="1">
        <v>50.0</v>
      </c>
      <c r="J74" s="1" t="s">
        <v>19</v>
      </c>
      <c r="L74" s="39"/>
      <c r="M74" s="61"/>
    </row>
    <row r="75">
      <c r="A75" s="1"/>
      <c r="B75" s="1" t="s">
        <v>545</v>
      </c>
      <c r="C75" s="1" t="s">
        <v>485</v>
      </c>
      <c r="D75" s="1" t="s">
        <v>518</v>
      </c>
      <c r="E75" s="41">
        <v>287092.0</v>
      </c>
      <c r="F75" s="1">
        <v>225096.0</v>
      </c>
      <c r="G75" s="64" t="s">
        <v>567</v>
      </c>
      <c r="H75" s="65" t="s">
        <v>561</v>
      </c>
      <c r="I75" s="1">
        <v>80.0</v>
      </c>
      <c r="J75" s="1" t="s">
        <v>19</v>
      </c>
      <c r="L75" s="39"/>
      <c r="M75" s="61"/>
    </row>
    <row r="76">
      <c r="A76" s="1"/>
      <c r="B76" s="1"/>
      <c r="C76" s="1" t="s">
        <v>485</v>
      </c>
      <c r="D76" s="1" t="s">
        <v>486</v>
      </c>
      <c r="E76" s="41">
        <v>603748.0</v>
      </c>
      <c r="F76" s="1">
        <v>527852.0</v>
      </c>
      <c r="G76" s="64" t="s">
        <v>568</v>
      </c>
      <c r="H76" s="65" t="s">
        <v>481</v>
      </c>
      <c r="I76" s="1">
        <v>80.0</v>
      </c>
      <c r="J76" s="1" t="s">
        <v>19</v>
      </c>
      <c r="L76" s="39"/>
      <c r="M76" s="61"/>
    </row>
    <row r="77">
      <c r="A77" s="1"/>
      <c r="B77" s="1"/>
      <c r="C77" s="1" t="s">
        <v>485</v>
      </c>
      <c r="D77" s="1" t="s">
        <v>518</v>
      </c>
      <c r="E77" s="41">
        <v>673702.0</v>
      </c>
      <c r="F77" s="1">
        <v>598473.0</v>
      </c>
      <c r="G77" s="64" t="s">
        <v>569</v>
      </c>
      <c r="H77" s="65" t="s">
        <v>481</v>
      </c>
      <c r="I77" s="1">
        <v>80.0</v>
      </c>
      <c r="J77" s="1" t="s">
        <v>19</v>
      </c>
      <c r="L77" s="39"/>
      <c r="M77" s="61"/>
    </row>
    <row r="78">
      <c r="A78" s="1"/>
      <c r="B78" s="1"/>
      <c r="C78" s="1" t="s">
        <v>474</v>
      </c>
      <c r="D78" s="1" t="s">
        <v>518</v>
      </c>
      <c r="E78" s="41">
        <v>518187.0</v>
      </c>
      <c r="F78" s="1">
        <v>456492.0</v>
      </c>
      <c r="G78" s="64" t="s">
        <v>514</v>
      </c>
      <c r="H78" s="65" t="s">
        <v>495</v>
      </c>
      <c r="I78" s="1">
        <v>80.0</v>
      </c>
      <c r="J78" s="1" t="s">
        <v>19</v>
      </c>
      <c r="L78" s="39"/>
      <c r="M78" s="61"/>
    </row>
    <row r="79">
      <c r="A79" s="1"/>
      <c r="B79" s="1"/>
      <c r="C79" s="1" t="s">
        <v>485</v>
      </c>
      <c r="D79" s="1" t="s">
        <v>486</v>
      </c>
      <c r="E79" s="41">
        <v>599145.0</v>
      </c>
      <c r="F79" s="1">
        <v>544370.0</v>
      </c>
      <c r="G79" s="64" t="s">
        <v>503</v>
      </c>
      <c r="H79" s="65" t="s">
        <v>481</v>
      </c>
      <c r="I79" s="1">
        <v>80.0</v>
      </c>
      <c r="J79" s="1" t="s">
        <v>19</v>
      </c>
      <c r="L79" s="39"/>
      <c r="M79" s="61"/>
    </row>
    <row r="80">
      <c r="A80" s="1"/>
      <c r="B80" s="1"/>
      <c r="C80" s="1" t="s">
        <v>474</v>
      </c>
      <c r="D80" s="1" t="s">
        <v>486</v>
      </c>
      <c r="E80" s="41">
        <v>369698.0</v>
      </c>
      <c r="F80" s="1">
        <v>302252.0</v>
      </c>
      <c r="G80" s="64" t="s">
        <v>514</v>
      </c>
      <c r="H80" s="65" t="s">
        <v>491</v>
      </c>
      <c r="I80" s="1">
        <v>80.0</v>
      </c>
      <c r="J80" s="1" t="s">
        <v>19</v>
      </c>
      <c r="L80" s="39"/>
      <c r="M80" s="61"/>
    </row>
    <row r="81">
      <c r="A81" s="1"/>
      <c r="B81" s="1"/>
      <c r="C81" s="1"/>
      <c r="D81" s="1"/>
      <c r="E81" s="1"/>
      <c r="F81" s="1"/>
      <c r="G81" s="64"/>
      <c r="H81" s="64"/>
      <c r="I81" s="1"/>
      <c r="J81" s="1"/>
      <c r="L81" s="39"/>
      <c r="M81" s="61"/>
    </row>
    <row r="82">
      <c r="A82" s="1"/>
      <c r="B82" s="73">
        <v>46054.0</v>
      </c>
      <c r="C82" s="1"/>
      <c r="D82" s="1"/>
      <c r="E82" s="1"/>
      <c r="F82" s="1"/>
      <c r="G82" s="64"/>
      <c r="H82" s="64"/>
      <c r="I82" s="1"/>
      <c r="J82" s="1"/>
      <c r="L82" s="39"/>
      <c r="M82" s="61"/>
    </row>
    <row r="83">
      <c r="A83" s="1"/>
      <c r="B83" s="1"/>
      <c r="C83" s="1"/>
      <c r="D83" s="1"/>
      <c r="E83" s="1"/>
      <c r="F83" s="1"/>
      <c r="G83" s="64"/>
      <c r="H83" s="64"/>
      <c r="I83" s="1"/>
      <c r="J83" s="1"/>
      <c r="L83" s="39"/>
      <c r="M83" s="61"/>
    </row>
    <row r="84">
      <c r="A84" s="1"/>
      <c r="B84" s="1" t="s">
        <v>471</v>
      </c>
      <c r="C84" s="1" t="s">
        <v>485</v>
      </c>
      <c r="D84" s="1" t="s">
        <v>476</v>
      </c>
      <c r="E84" s="1">
        <v>327347.0</v>
      </c>
      <c r="F84" s="1">
        <v>266511.0</v>
      </c>
      <c r="G84" s="64" t="s">
        <v>489</v>
      </c>
      <c r="H84" s="65" t="s">
        <v>495</v>
      </c>
      <c r="I84" s="1">
        <v>50.0</v>
      </c>
      <c r="J84" s="1" t="s">
        <v>19</v>
      </c>
      <c r="L84" s="39" t="s">
        <v>467</v>
      </c>
      <c r="M84" s="61">
        <f>SUM(F84:F142)</f>
        <v>19694068</v>
      </c>
    </row>
    <row r="85">
      <c r="C85" s="1" t="s">
        <v>485</v>
      </c>
      <c r="D85" s="1" t="s">
        <v>518</v>
      </c>
      <c r="E85" s="1">
        <v>250347.0</v>
      </c>
      <c r="F85" s="1">
        <v>208035.0</v>
      </c>
      <c r="G85" s="64" t="s">
        <v>567</v>
      </c>
      <c r="H85" s="65" t="s">
        <v>491</v>
      </c>
      <c r="I85" s="1">
        <v>50.0</v>
      </c>
      <c r="J85" s="1" t="s">
        <v>19</v>
      </c>
      <c r="L85" s="39" t="s">
        <v>483</v>
      </c>
      <c r="M85" s="1">
        <v>59.0</v>
      </c>
    </row>
    <row r="86">
      <c r="C86" s="1" t="s">
        <v>474</v>
      </c>
      <c r="D86" s="1" t="s">
        <v>486</v>
      </c>
      <c r="E86" s="1">
        <v>282662.0</v>
      </c>
      <c r="F86" s="1">
        <v>215710.0</v>
      </c>
      <c r="G86" s="64" t="s">
        <v>514</v>
      </c>
      <c r="H86" s="65" t="s">
        <v>561</v>
      </c>
      <c r="I86" s="1">
        <v>50.0</v>
      </c>
      <c r="J86" s="1" t="s">
        <v>19</v>
      </c>
      <c r="L86" s="39" t="s">
        <v>487</v>
      </c>
      <c r="M86" s="61">
        <f>M84/M85</f>
        <v>333797.7627</v>
      </c>
    </row>
    <row r="87">
      <c r="C87" s="1" t="s">
        <v>474</v>
      </c>
      <c r="D87" s="1" t="s">
        <v>486</v>
      </c>
      <c r="E87" s="1">
        <v>310507.0</v>
      </c>
      <c r="F87" s="1">
        <v>225636.0</v>
      </c>
      <c r="G87" s="64" t="s">
        <v>489</v>
      </c>
      <c r="H87" s="65" t="s">
        <v>481</v>
      </c>
      <c r="I87" s="1">
        <v>0.0</v>
      </c>
      <c r="J87" s="1" t="s">
        <v>19</v>
      </c>
      <c r="L87" s="39" t="s">
        <v>481</v>
      </c>
      <c r="M87" s="68">
        <f>COUNTIF(H84:H142,"General")/COUNTA(H84:H142)</f>
        <v>0.4406779661</v>
      </c>
    </row>
    <row r="88">
      <c r="C88" s="1" t="s">
        <v>474</v>
      </c>
      <c r="D88" s="1" t="s">
        <v>476</v>
      </c>
      <c r="E88" s="1">
        <v>529330.0</v>
      </c>
      <c r="F88" s="1">
        <v>449099.0</v>
      </c>
      <c r="G88" s="64" t="s">
        <v>577</v>
      </c>
      <c r="H88" s="65" t="s">
        <v>481</v>
      </c>
      <c r="I88" s="1">
        <v>50.0</v>
      </c>
      <c r="J88" s="1" t="s">
        <v>19</v>
      </c>
      <c r="L88" s="39" t="s">
        <v>492</v>
      </c>
      <c r="M88" s="1">
        <v>5.0</v>
      </c>
    </row>
    <row r="89">
      <c r="C89" s="1" t="s">
        <v>485</v>
      </c>
      <c r="D89" s="1" t="s">
        <v>486</v>
      </c>
      <c r="E89" s="1">
        <v>475671.0</v>
      </c>
      <c r="F89" s="1">
        <v>398647.0</v>
      </c>
      <c r="G89" s="64" t="s">
        <v>489</v>
      </c>
      <c r="H89" s="65" t="s">
        <v>481</v>
      </c>
      <c r="I89" s="1">
        <v>50.0</v>
      </c>
      <c r="J89" s="1" t="s">
        <v>19</v>
      </c>
    </row>
    <row r="90">
      <c r="C90" s="1" t="s">
        <v>485</v>
      </c>
      <c r="D90" s="1" t="s">
        <v>486</v>
      </c>
      <c r="E90" s="1">
        <v>388105.0</v>
      </c>
      <c r="F90" s="1">
        <v>307437.0</v>
      </c>
      <c r="G90" s="64" t="s">
        <v>489</v>
      </c>
      <c r="H90" s="65" t="s">
        <v>481</v>
      </c>
      <c r="I90" s="1">
        <v>50.0</v>
      </c>
      <c r="J90" s="1" t="s">
        <v>19</v>
      </c>
    </row>
    <row r="91">
      <c r="C91" s="1" t="s">
        <v>474</v>
      </c>
      <c r="D91" s="1" t="s">
        <v>518</v>
      </c>
      <c r="E91" s="1">
        <v>490387.0</v>
      </c>
      <c r="F91" s="1">
        <v>401151.0</v>
      </c>
      <c r="G91" s="64" t="s">
        <v>578</v>
      </c>
      <c r="H91" s="65" t="s">
        <v>481</v>
      </c>
      <c r="I91" s="1">
        <v>50.0</v>
      </c>
      <c r="J91" s="1" t="s">
        <v>18</v>
      </c>
    </row>
    <row r="92">
      <c r="C92" s="1" t="s">
        <v>474</v>
      </c>
      <c r="D92" s="1" t="s">
        <v>486</v>
      </c>
      <c r="E92" s="1">
        <v>431831.0</v>
      </c>
      <c r="F92" s="1">
        <v>378122.0</v>
      </c>
      <c r="G92" s="64" t="s">
        <v>490</v>
      </c>
      <c r="H92" s="65" t="s">
        <v>495</v>
      </c>
      <c r="I92" s="1">
        <v>50.0</v>
      </c>
      <c r="J92" s="1" t="s">
        <v>18</v>
      </c>
    </row>
    <row r="93">
      <c r="C93" s="1" t="s">
        <v>474</v>
      </c>
      <c r="D93" s="1" t="s">
        <v>476</v>
      </c>
      <c r="E93" s="1">
        <v>343396.0</v>
      </c>
      <c r="F93" s="1">
        <v>281467.0</v>
      </c>
      <c r="G93" s="64" t="s">
        <v>529</v>
      </c>
      <c r="H93" s="65" t="s">
        <v>491</v>
      </c>
      <c r="I93" s="1">
        <v>50.0</v>
      </c>
      <c r="J93" s="1" t="s">
        <v>18</v>
      </c>
    </row>
    <row r="94">
      <c r="C94" s="1" t="s">
        <v>485</v>
      </c>
      <c r="D94" s="1" t="s">
        <v>476</v>
      </c>
      <c r="E94" s="1">
        <v>500055.0</v>
      </c>
      <c r="F94" s="1">
        <v>439507.0</v>
      </c>
      <c r="G94" s="64" t="s">
        <v>489</v>
      </c>
      <c r="H94" s="65" t="s">
        <v>481</v>
      </c>
      <c r="I94" s="1">
        <v>80.0</v>
      </c>
      <c r="J94" s="1" t="s">
        <v>19</v>
      </c>
    </row>
    <row r="95">
      <c r="C95" s="1" t="s">
        <v>474</v>
      </c>
      <c r="D95" s="1" t="s">
        <v>486</v>
      </c>
      <c r="E95" s="1">
        <v>349808.0</v>
      </c>
      <c r="F95" s="1">
        <v>301233.0</v>
      </c>
      <c r="G95" s="64" t="s">
        <v>567</v>
      </c>
      <c r="H95" s="65" t="s">
        <v>491</v>
      </c>
      <c r="I95" s="1">
        <v>80.0</v>
      </c>
      <c r="J95" s="1" t="s">
        <v>18</v>
      </c>
    </row>
    <row r="96">
      <c r="C96" s="1" t="s">
        <v>485</v>
      </c>
      <c r="D96" s="1" t="s">
        <v>476</v>
      </c>
      <c r="E96" s="1">
        <v>412547.0</v>
      </c>
      <c r="F96" s="1">
        <v>343704.0</v>
      </c>
      <c r="G96" s="64" t="s">
        <v>493</v>
      </c>
      <c r="H96" s="65" t="s">
        <v>491</v>
      </c>
      <c r="I96" s="1">
        <v>80.0</v>
      </c>
      <c r="J96" s="1" t="s">
        <v>18</v>
      </c>
    </row>
    <row r="97">
      <c r="C97" s="1" t="s">
        <v>474</v>
      </c>
      <c r="D97" s="1" t="s">
        <v>476</v>
      </c>
      <c r="E97" s="1">
        <v>340383.0</v>
      </c>
      <c r="F97" s="1">
        <v>276779.0</v>
      </c>
      <c r="G97" s="64" t="s">
        <v>528</v>
      </c>
      <c r="H97" s="65" t="s">
        <v>491</v>
      </c>
      <c r="I97" s="1">
        <v>80.0</v>
      </c>
      <c r="J97" s="1" t="s">
        <v>18</v>
      </c>
    </row>
    <row r="98">
      <c r="C98" s="1" t="s">
        <v>485</v>
      </c>
      <c r="D98" s="1" t="s">
        <v>476</v>
      </c>
      <c r="E98" s="1">
        <v>546138.0</v>
      </c>
      <c r="F98" s="1">
        <v>486315.0</v>
      </c>
      <c r="G98" s="64" t="s">
        <v>581</v>
      </c>
      <c r="H98" s="65" t="s">
        <v>481</v>
      </c>
      <c r="I98" s="1">
        <v>80.0</v>
      </c>
      <c r="J98" s="1" t="s">
        <v>18</v>
      </c>
    </row>
    <row r="99">
      <c r="C99" s="1" t="s">
        <v>485</v>
      </c>
      <c r="D99" s="1" t="s">
        <v>476</v>
      </c>
      <c r="E99" s="1">
        <v>336620.0</v>
      </c>
      <c r="F99" s="1">
        <v>269602.0</v>
      </c>
      <c r="G99" s="64" t="s">
        <v>583</v>
      </c>
      <c r="H99" s="65" t="s">
        <v>491</v>
      </c>
      <c r="I99" s="1">
        <v>50.0</v>
      </c>
      <c r="J99" s="1" t="s">
        <v>18</v>
      </c>
    </row>
    <row r="100">
      <c r="C100" s="1" t="s">
        <v>485</v>
      </c>
      <c r="D100" s="1" t="s">
        <v>486</v>
      </c>
      <c r="E100" s="1">
        <v>471084.0</v>
      </c>
      <c r="F100" s="1">
        <v>396089.0</v>
      </c>
      <c r="G100" s="64" t="s">
        <v>585</v>
      </c>
      <c r="H100" s="65" t="s">
        <v>481</v>
      </c>
      <c r="I100" s="1">
        <v>50.0</v>
      </c>
      <c r="J100" s="1" t="s">
        <v>19</v>
      </c>
    </row>
    <row r="101">
      <c r="C101" s="1" t="s">
        <v>474</v>
      </c>
      <c r="D101" s="1" t="s">
        <v>518</v>
      </c>
      <c r="E101" s="1">
        <v>416334.0</v>
      </c>
      <c r="F101" s="1">
        <v>338105.0</v>
      </c>
      <c r="G101" s="64" t="s">
        <v>489</v>
      </c>
      <c r="H101" s="65" t="s">
        <v>495</v>
      </c>
      <c r="I101" s="1">
        <v>50.0</v>
      </c>
      <c r="J101" s="1" t="s">
        <v>19</v>
      </c>
    </row>
    <row r="102">
      <c r="C102" s="1" t="s">
        <v>474</v>
      </c>
      <c r="D102" s="1" t="s">
        <v>518</v>
      </c>
      <c r="E102" s="1">
        <v>600104.0</v>
      </c>
      <c r="F102" s="1">
        <v>507046.0</v>
      </c>
      <c r="G102" s="64" t="s">
        <v>505</v>
      </c>
      <c r="H102" s="65" t="s">
        <v>481</v>
      </c>
      <c r="I102" s="1">
        <v>50.0</v>
      </c>
      <c r="J102" s="1" t="s">
        <v>19</v>
      </c>
      <c r="K102" s="10">
        <f>sum(F84:F102)</f>
        <v>6490195</v>
      </c>
    </row>
    <row r="103">
      <c r="A103" s="1"/>
      <c r="B103" s="1" t="s">
        <v>506</v>
      </c>
      <c r="C103" s="1" t="s">
        <v>474</v>
      </c>
      <c r="D103" s="1" t="s">
        <v>486</v>
      </c>
      <c r="E103" s="1">
        <v>225152.0</v>
      </c>
      <c r="F103" s="1">
        <v>168448.0</v>
      </c>
      <c r="G103" s="64" t="s">
        <v>542</v>
      </c>
      <c r="H103" s="65" t="s">
        <v>561</v>
      </c>
      <c r="I103" s="1">
        <v>50.0</v>
      </c>
      <c r="J103" s="1" t="s">
        <v>19</v>
      </c>
    </row>
    <row r="104">
      <c r="C104" s="1" t="s">
        <v>474</v>
      </c>
      <c r="D104" s="1" t="s">
        <v>476</v>
      </c>
      <c r="E104" s="1">
        <v>200791.0</v>
      </c>
      <c r="F104" s="1">
        <v>148905.0</v>
      </c>
      <c r="G104" s="64" t="s">
        <v>586</v>
      </c>
      <c r="H104" s="65" t="s">
        <v>561</v>
      </c>
      <c r="I104" s="1">
        <v>50.0</v>
      </c>
      <c r="J104" s="1" t="s">
        <v>19</v>
      </c>
    </row>
    <row r="105">
      <c r="C105" s="1" t="s">
        <v>485</v>
      </c>
      <c r="D105" s="1" t="s">
        <v>476</v>
      </c>
      <c r="E105" s="1">
        <v>382692.0</v>
      </c>
      <c r="F105" s="1">
        <v>333017.0</v>
      </c>
      <c r="G105" s="64" t="s">
        <v>514</v>
      </c>
      <c r="H105" s="65" t="s">
        <v>481</v>
      </c>
      <c r="I105" s="1">
        <v>50.0</v>
      </c>
      <c r="J105" s="1" t="s">
        <v>19</v>
      </c>
    </row>
    <row r="106">
      <c r="C106" s="1" t="s">
        <v>485</v>
      </c>
      <c r="D106" s="1" t="s">
        <v>486</v>
      </c>
      <c r="E106" s="1">
        <v>317355.0</v>
      </c>
      <c r="F106" s="1">
        <v>257283.0</v>
      </c>
      <c r="G106" s="64" t="s">
        <v>544</v>
      </c>
      <c r="H106" s="65" t="s">
        <v>491</v>
      </c>
      <c r="I106" s="1">
        <v>50.0</v>
      </c>
      <c r="J106" s="1" t="s">
        <v>19</v>
      </c>
    </row>
    <row r="107">
      <c r="C107" s="1" t="s">
        <v>474</v>
      </c>
      <c r="D107" s="1" t="s">
        <v>518</v>
      </c>
      <c r="E107" s="1">
        <v>381321.0</v>
      </c>
      <c r="F107" s="1">
        <v>329819.0</v>
      </c>
      <c r="G107" s="64" t="s">
        <v>490</v>
      </c>
      <c r="H107" s="65" t="s">
        <v>491</v>
      </c>
      <c r="I107" s="1">
        <v>50.0</v>
      </c>
      <c r="J107" s="1" t="s">
        <v>19</v>
      </c>
    </row>
    <row r="108">
      <c r="C108" s="1" t="s">
        <v>474</v>
      </c>
      <c r="D108" s="1" t="s">
        <v>476</v>
      </c>
      <c r="E108" s="1">
        <v>455125.0</v>
      </c>
      <c r="F108" s="1">
        <v>370219.0</v>
      </c>
      <c r="G108" s="64" t="s">
        <v>489</v>
      </c>
      <c r="H108" s="65" t="s">
        <v>481</v>
      </c>
      <c r="I108" s="1">
        <v>50.0</v>
      </c>
      <c r="J108" s="1" t="s">
        <v>19</v>
      </c>
    </row>
    <row r="109">
      <c r="C109" s="1" t="s">
        <v>474</v>
      </c>
      <c r="D109" s="1" t="s">
        <v>518</v>
      </c>
      <c r="E109" s="1">
        <v>485760.0</v>
      </c>
      <c r="F109" s="1">
        <v>420919.0</v>
      </c>
      <c r="G109" s="64" t="s">
        <v>514</v>
      </c>
      <c r="H109" s="65" t="s">
        <v>481</v>
      </c>
      <c r="I109" s="1">
        <v>50.0</v>
      </c>
      <c r="J109" s="1" t="s">
        <v>19</v>
      </c>
      <c r="K109" s="10">
        <f>sum(F103:F109)</f>
        <v>2028610</v>
      </c>
    </row>
    <row r="110">
      <c r="A110" s="1"/>
      <c r="B110" s="1" t="s">
        <v>519</v>
      </c>
      <c r="C110" s="1" t="s">
        <v>474</v>
      </c>
      <c r="D110" s="1" t="s">
        <v>518</v>
      </c>
      <c r="E110" s="1">
        <v>355075.0</v>
      </c>
      <c r="F110" s="1">
        <v>288037.0</v>
      </c>
      <c r="G110" s="64" t="s">
        <v>529</v>
      </c>
      <c r="H110" s="65" t="s">
        <v>491</v>
      </c>
      <c r="I110" s="1">
        <v>50.0</v>
      </c>
      <c r="J110" s="1" t="s">
        <v>19</v>
      </c>
    </row>
    <row r="111">
      <c r="C111" s="1" t="s">
        <v>485</v>
      </c>
      <c r="D111" s="1" t="s">
        <v>476</v>
      </c>
      <c r="E111" s="1">
        <v>366035.0</v>
      </c>
      <c r="F111" s="1">
        <v>316015.0</v>
      </c>
      <c r="G111" s="64" t="s">
        <v>567</v>
      </c>
      <c r="H111" s="65" t="s">
        <v>495</v>
      </c>
      <c r="I111" s="1">
        <v>50.0</v>
      </c>
      <c r="J111" s="1" t="s">
        <v>19</v>
      </c>
    </row>
    <row r="112">
      <c r="C112" s="1" t="s">
        <v>485</v>
      </c>
      <c r="D112" s="1" t="s">
        <v>486</v>
      </c>
      <c r="E112" s="1">
        <v>328294.0</v>
      </c>
      <c r="F112" s="1">
        <v>267044.0</v>
      </c>
      <c r="G112" s="64" t="s">
        <v>489</v>
      </c>
      <c r="H112" s="65" t="s">
        <v>491</v>
      </c>
      <c r="I112" s="1">
        <v>50.0</v>
      </c>
      <c r="J112" s="1" t="s">
        <v>19</v>
      </c>
      <c r="K112" s="10">
        <f>sum(F110:F112)</f>
        <v>871096</v>
      </c>
    </row>
    <row r="113">
      <c r="A113" s="1"/>
      <c r="B113" s="1" t="s">
        <v>531</v>
      </c>
      <c r="C113" s="1" t="s">
        <v>474</v>
      </c>
      <c r="D113" s="1" t="s">
        <v>476</v>
      </c>
      <c r="E113" s="1">
        <v>392330.0</v>
      </c>
      <c r="F113" s="1">
        <v>318500.0</v>
      </c>
      <c r="G113" s="64" t="s">
        <v>503</v>
      </c>
      <c r="H113" s="65" t="s">
        <v>495</v>
      </c>
      <c r="I113" s="1">
        <v>50.0</v>
      </c>
      <c r="J113" s="1" t="s">
        <v>19</v>
      </c>
    </row>
    <row r="114">
      <c r="C114" s="1" t="s">
        <v>485</v>
      </c>
      <c r="D114" s="1" t="s">
        <v>486</v>
      </c>
      <c r="E114" s="1">
        <v>297501.0</v>
      </c>
      <c r="F114" s="1">
        <v>235571.0</v>
      </c>
      <c r="G114" s="64" t="s">
        <v>556</v>
      </c>
      <c r="H114" s="65" t="s">
        <v>491</v>
      </c>
      <c r="I114" s="1">
        <v>50.0</v>
      </c>
      <c r="J114" s="1" t="s">
        <v>19</v>
      </c>
    </row>
    <row r="115">
      <c r="C115" s="1" t="s">
        <v>485</v>
      </c>
      <c r="D115" s="1" t="s">
        <v>476</v>
      </c>
      <c r="E115" s="1">
        <v>487300.0</v>
      </c>
      <c r="F115" s="1">
        <v>424481.0</v>
      </c>
      <c r="G115" s="64" t="s">
        <v>529</v>
      </c>
      <c r="H115" s="65" t="s">
        <v>481</v>
      </c>
      <c r="I115" s="1">
        <v>50.0</v>
      </c>
      <c r="J115" s="1" t="s">
        <v>19</v>
      </c>
    </row>
    <row r="116">
      <c r="C116" s="1" t="s">
        <v>474</v>
      </c>
      <c r="D116" s="1" t="s">
        <v>486</v>
      </c>
      <c r="E116" s="1">
        <v>311788.0</v>
      </c>
      <c r="F116" s="1">
        <v>257414.0</v>
      </c>
      <c r="G116" s="64" t="s">
        <v>591</v>
      </c>
      <c r="H116" s="65" t="s">
        <v>491</v>
      </c>
      <c r="I116" s="1">
        <v>50.0</v>
      </c>
      <c r="J116" s="1" t="s">
        <v>19</v>
      </c>
    </row>
    <row r="117">
      <c r="C117" s="1" t="s">
        <v>485</v>
      </c>
      <c r="D117" s="1" t="s">
        <v>518</v>
      </c>
      <c r="E117" s="1">
        <v>395409.0</v>
      </c>
      <c r="F117" s="1">
        <v>342953.0</v>
      </c>
      <c r="G117" s="64" t="s">
        <v>503</v>
      </c>
      <c r="H117" s="65" t="s">
        <v>481</v>
      </c>
      <c r="I117" s="1">
        <v>50.0</v>
      </c>
      <c r="J117" s="1" t="s">
        <v>19</v>
      </c>
    </row>
    <row r="118">
      <c r="C118" s="1" t="s">
        <v>474</v>
      </c>
      <c r="D118" s="1" t="s">
        <v>486</v>
      </c>
      <c r="E118" s="1">
        <v>300774.0</v>
      </c>
      <c r="F118" s="1">
        <v>237395.0</v>
      </c>
      <c r="G118" s="64" t="s">
        <v>567</v>
      </c>
      <c r="H118" s="65" t="s">
        <v>491</v>
      </c>
      <c r="I118" s="1">
        <v>50.0</v>
      </c>
      <c r="J118" s="1" t="s">
        <v>19</v>
      </c>
    </row>
    <row r="119">
      <c r="C119" s="1" t="s">
        <v>474</v>
      </c>
      <c r="D119" s="1" t="s">
        <v>476</v>
      </c>
      <c r="E119" s="1">
        <v>409687.0</v>
      </c>
      <c r="F119" s="1">
        <v>311667.0</v>
      </c>
      <c r="G119" s="64" t="s">
        <v>512</v>
      </c>
      <c r="H119" s="65" t="s">
        <v>481</v>
      </c>
      <c r="I119" s="1">
        <v>0.0</v>
      </c>
      <c r="J119" s="1" t="s">
        <v>19</v>
      </c>
      <c r="K119" s="10">
        <f>sum(F113:F119)</f>
        <v>2127981</v>
      </c>
    </row>
    <row r="120">
      <c r="A120" s="1"/>
      <c r="B120" s="1" t="s">
        <v>545</v>
      </c>
      <c r="C120" s="1" t="s">
        <v>474</v>
      </c>
      <c r="D120" s="1" t="s">
        <v>518</v>
      </c>
      <c r="E120" s="1">
        <v>150617.0</v>
      </c>
      <c r="F120" s="1">
        <v>106377.0</v>
      </c>
      <c r="G120" s="64" t="s">
        <v>592</v>
      </c>
      <c r="H120" s="65" t="s">
        <v>593</v>
      </c>
      <c r="I120" s="1">
        <v>50.0</v>
      </c>
      <c r="J120" s="1" t="s">
        <v>19</v>
      </c>
    </row>
    <row r="121">
      <c r="C121" s="1" t="s">
        <v>474</v>
      </c>
      <c r="D121" s="1" t="s">
        <v>486</v>
      </c>
      <c r="E121" s="1">
        <v>454501.0</v>
      </c>
      <c r="F121" s="1">
        <v>383852.0</v>
      </c>
      <c r="G121" s="64" t="s">
        <v>489</v>
      </c>
      <c r="H121" s="65" t="s">
        <v>481</v>
      </c>
      <c r="I121" s="1">
        <v>50.0</v>
      </c>
      <c r="J121" s="1" t="s">
        <v>19</v>
      </c>
    </row>
    <row r="122">
      <c r="C122" s="1" t="s">
        <v>485</v>
      </c>
      <c r="D122" s="1" t="s">
        <v>518</v>
      </c>
      <c r="E122" s="1">
        <v>445145.0</v>
      </c>
      <c r="F122" s="1">
        <v>381539.0</v>
      </c>
      <c r="G122" s="64" t="s">
        <v>489</v>
      </c>
      <c r="H122" s="65" t="s">
        <v>481</v>
      </c>
      <c r="I122" s="1">
        <v>50.0</v>
      </c>
      <c r="J122" s="1" t="s">
        <v>19</v>
      </c>
    </row>
    <row r="123">
      <c r="C123" s="1" t="s">
        <v>485</v>
      </c>
      <c r="D123" s="1" t="s">
        <v>476</v>
      </c>
      <c r="E123" s="1">
        <v>476932.0</v>
      </c>
      <c r="F123" s="1">
        <v>396640.0</v>
      </c>
      <c r="G123" s="64" t="s">
        <v>542</v>
      </c>
      <c r="H123" s="65" t="s">
        <v>481</v>
      </c>
      <c r="I123" s="1">
        <v>50.0</v>
      </c>
      <c r="J123" s="1" t="s">
        <v>19</v>
      </c>
    </row>
    <row r="124">
      <c r="C124" s="1" t="s">
        <v>474</v>
      </c>
      <c r="D124" s="1" t="s">
        <v>476</v>
      </c>
      <c r="E124" s="1">
        <v>245743.0</v>
      </c>
      <c r="F124" s="1">
        <v>194866.0</v>
      </c>
      <c r="G124" s="64" t="s">
        <v>544</v>
      </c>
      <c r="H124" s="65" t="s">
        <v>491</v>
      </c>
      <c r="I124" s="1">
        <v>50.0</v>
      </c>
      <c r="J124" s="1" t="s">
        <v>19</v>
      </c>
    </row>
    <row r="125">
      <c r="C125" s="1" t="s">
        <v>485</v>
      </c>
      <c r="D125" s="1" t="s">
        <v>518</v>
      </c>
      <c r="E125" s="1">
        <v>294182.0</v>
      </c>
      <c r="F125" s="1">
        <v>239607.0</v>
      </c>
      <c r="G125" s="64" t="s">
        <v>514</v>
      </c>
      <c r="H125" s="65" t="s">
        <v>481</v>
      </c>
      <c r="I125" s="1">
        <v>50.0</v>
      </c>
      <c r="J125" s="1" t="s">
        <v>19</v>
      </c>
    </row>
    <row r="126">
      <c r="C126" s="1" t="s">
        <v>485</v>
      </c>
      <c r="D126" s="1" t="s">
        <v>476</v>
      </c>
      <c r="E126" s="1">
        <v>528046.0</v>
      </c>
      <c r="F126" s="1">
        <v>453204.0</v>
      </c>
      <c r="G126" s="64" t="s">
        <v>505</v>
      </c>
      <c r="H126" s="65" t="s">
        <v>481</v>
      </c>
      <c r="I126" s="1">
        <v>80.0</v>
      </c>
      <c r="J126" s="1" t="s">
        <v>18</v>
      </c>
    </row>
    <row r="127">
      <c r="C127" s="1" t="s">
        <v>474</v>
      </c>
      <c r="D127" s="1" t="s">
        <v>486</v>
      </c>
      <c r="E127" s="1">
        <v>431562.0</v>
      </c>
      <c r="F127" s="1">
        <v>377771.0</v>
      </c>
      <c r="G127" s="64" t="s">
        <v>591</v>
      </c>
      <c r="H127" s="65" t="s">
        <v>491</v>
      </c>
      <c r="I127" s="1">
        <v>80.0</v>
      </c>
      <c r="J127" s="1" t="s">
        <v>18</v>
      </c>
    </row>
    <row r="128">
      <c r="C128" s="1" t="s">
        <v>485</v>
      </c>
      <c r="D128" s="1" t="s">
        <v>518</v>
      </c>
      <c r="E128" s="1">
        <v>457694.0</v>
      </c>
      <c r="F128" s="1">
        <v>385274.0</v>
      </c>
      <c r="G128" s="64" t="s">
        <v>489</v>
      </c>
      <c r="H128" s="65" t="s">
        <v>481</v>
      </c>
      <c r="I128" s="1">
        <v>80.0</v>
      </c>
      <c r="J128" s="1" t="s">
        <v>18</v>
      </c>
    </row>
    <row r="129">
      <c r="C129" s="1" t="s">
        <v>485</v>
      </c>
      <c r="D129" s="1" t="s">
        <v>518</v>
      </c>
      <c r="E129" s="1">
        <v>406543.0</v>
      </c>
      <c r="F129" s="1">
        <v>343905.0</v>
      </c>
      <c r="G129" s="64" t="s">
        <v>503</v>
      </c>
      <c r="H129" s="65" t="s">
        <v>495</v>
      </c>
      <c r="I129" s="1">
        <v>80.0</v>
      </c>
      <c r="J129" s="1" t="s">
        <v>18</v>
      </c>
    </row>
    <row r="130">
      <c r="C130" s="1" t="s">
        <v>485</v>
      </c>
      <c r="D130" s="1" t="s">
        <v>486</v>
      </c>
      <c r="E130" s="1">
        <v>309491.0</v>
      </c>
      <c r="F130" s="1">
        <v>274981.0</v>
      </c>
      <c r="G130" s="64" t="s">
        <v>618</v>
      </c>
      <c r="H130" s="65" t="s">
        <v>491</v>
      </c>
      <c r="I130" s="1">
        <v>80.0</v>
      </c>
      <c r="J130" s="1" t="s">
        <v>19</v>
      </c>
    </row>
    <row r="131">
      <c r="C131" s="1" t="s">
        <v>474</v>
      </c>
      <c r="D131" s="1" t="s">
        <v>476</v>
      </c>
      <c r="E131" s="1">
        <v>596280.0</v>
      </c>
      <c r="F131" s="1">
        <v>519792.0</v>
      </c>
      <c r="G131" s="64" t="s">
        <v>620</v>
      </c>
      <c r="H131" s="65" t="s">
        <v>481</v>
      </c>
      <c r="I131" s="1">
        <v>80.0</v>
      </c>
      <c r="J131" s="1" t="s">
        <v>18</v>
      </c>
    </row>
    <row r="132">
      <c r="C132" s="1" t="s">
        <v>485</v>
      </c>
      <c r="D132" s="1" t="s">
        <v>518</v>
      </c>
      <c r="E132" s="1">
        <v>648419.0</v>
      </c>
      <c r="F132" s="1">
        <v>581745.0</v>
      </c>
      <c r="G132" s="64" t="s">
        <v>557</v>
      </c>
      <c r="H132" s="65" t="s">
        <v>481</v>
      </c>
      <c r="I132" s="1">
        <v>80.0</v>
      </c>
      <c r="J132" s="1" t="s">
        <v>18</v>
      </c>
    </row>
    <row r="133">
      <c r="C133" s="1" t="s">
        <v>485</v>
      </c>
      <c r="D133" s="1" t="s">
        <v>476</v>
      </c>
      <c r="E133" s="1">
        <v>352480.0</v>
      </c>
      <c r="F133" s="1">
        <v>305307.0</v>
      </c>
      <c r="G133" s="64" t="s">
        <v>559</v>
      </c>
      <c r="H133" s="65" t="s">
        <v>491</v>
      </c>
      <c r="I133" s="1">
        <v>80.0</v>
      </c>
      <c r="J133" s="1" t="s">
        <v>18</v>
      </c>
    </row>
    <row r="134">
      <c r="C134" s="1" t="s">
        <v>474</v>
      </c>
      <c r="D134" s="1" t="s">
        <v>486</v>
      </c>
      <c r="E134" s="1">
        <v>344421.0</v>
      </c>
      <c r="F134" s="1">
        <v>285668.0</v>
      </c>
      <c r="G134" s="64" t="s">
        <v>559</v>
      </c>
      <c r="H134" s="65" t="s">
        <v>491</v>
      </c>
      <c r="I134" s="1">
        <v>80.0</v>
      </c>
      <c r="J134" s="1" t="s">
        <v>18</v>
      </c>
    </row>
    <row r="135">
      <c r="C135" s="1" t="s">
        <v>485</v>
      </c>
      <c r="D135" s="1" t="s">
        <v>518</v>
      </c>
      <c r="E135" s="1">
        <v>488086.0</v>
      </c>
      <c r="F135" s="1">
        <v>405342.0</v>
      </c>
      <c r="G135" s="64" t="s">
        <v>537</v>
      </c>
      <c r="H135" s="65" t="s">
        <v>495</v>
      </c>
      <c r="I135" s="1">
        <v>80.0</v>
      </c>
      <c r="J135" s="1" t="s">
        <v>18</v>
      </c>
    </row>
    <row r="136">
      <c r="C136" s="1" t="s">
        <v>485</v>
      </c>
      <c r="D136" s="1" t="s">
        <v>518</v>
      </c>
      <c r="E136" s="1">
        <v>187153.0</v>
      </c>
      <c r="F136" s="1">
        <v>145465.0</v>
      </c>
      <c r="G136" s="64" t="s">
        <v>621</v>
      </c>
      <c r="H136" s="65" t="s">
        <v>593</v>
      </c>
      <c r="I136" s="1">
        <v>50.0</v>
      </c>
      <c r="J136" s="1" t="s">
        <v>19</v>
      </c>
      <c r="K136" s="10">
        <f>sum(F120:F136)</f>
        <v>5781335</v>
      </c>
    </row>
    <row r="137">
      <c r="B137" s="1" t="s">
        <v>622</v>
      </c>
      <c r="C137" s="1" t="s">
        <v>485</v>
      </c>
      <c r="D137" s="1" t="s">
        <v>518</v>
      </c>
      <c r="E137" s="1">
        <v>603551.0</v>
      </c>
      <c r="F137" s="1">
        <v>523537.0</v>
      </c>
      <c r="G137" s="64" t="s">
        <v>529</v>
      </c>
      <c r="H137" s="65" t="s">
        <v>481</v>
      </c>
      <c r="I137" s="1">
        <v>80.0</v>
      </c>
      <c r="J137" s="1" t="s">
        <v>18</v>
      </c>
    </row>
    <row r="138">
      <c r="C138" s="1" t="s">
        <v>474</v>
      </c>
      <c r="D138" s="1" t="s">
        <v>476</v>
      </c>
      <c r="E138" s="1">
        <v>349787.0</v>
      </c>
      <c r="F138" s="1">
        <v>277170.0</v>
      </c>
      <c r="G138" s="64" t="s">
        <v>503</v>
      </c>
      <c r="H138" s="65" t="s">
        <v>491</v>
      </c>
      <c r="I138" s="1">
        <v>80.0</v>
      </c>
      <c r="J138" s="1" t="s">
        <v>18</v>
      </c>
    </row>
    <row r="139">
      <c r="C139" s="1" t="s">
        <v>485</v>
      </c>
      <c r="D139" s="1" t="s">
        <v>486</v>
      </c>
      <c r="E139" s="1">
        <v>552775.0</v>
      </c>
      <c r="F139" s="1">
        <v>466754.0</v>
      </c>
      <c r="G139" s="64" t="s">
        <v>623</v>
      </c>
      <c r="H139" s="65" t="s">
        <v>481</v>
      </c>
      <c r="I139" s="1">
        <v>80.0</v>
      </c>
      <c r="J139" s="1" t="s">
        <v>18</v>
      </c>
    </row>
    <row r="140">
      <c r="C140" s="1" t="s">
        <v>474</v>
      </c>
      <c r="D140" s="1" t="s">
        <v>486</v>
      </c>
      <c r="E140" s="1">
        <v>666312.0</v>
      </c>
      <c r="F140" s="1">
        <v>595090.0</v>
      </c>
      <c r="G140" s="64" t="s">
        <v>489</v>
      </c>
      <c r="H140" s="65" t="s">
        <v>481</v>
      </c>
      <c r="I140" s="1">
        <v>80.0</v>
      </c>
      <c r="J140" s="1" t="s">
        <v>19</v>
      </c>
    </row>
    <row r="141">
      <c r="C141" s="1" t="s">
        <v>485</v>
      </c>
      <c r="D141" s="1" t="s">
        <v>486</v>
      </c>
      <c r="E141" s="1">
        <v>479818.0</v>
      </c>
      <c r="F141" s="1">
        <v>406787.0</v>
      </c>
      <c r="G141" s="64" t="s">
        <v>489</v>
      </c>
      <c r="H141" s="65" t="s">
        <v>495</v>
      </c>
      <c r="I141" s="1">
        <v>50.0</v>
      </c>
      <c r="J141" s="1" t="s">
        <v>19</v>
      </c>
    </row>
    <row r="142">
      <c r="C142" s="1" t="s">
        <v>485</v>
      </c>
      <c r="D142" s="1" t="s">
        <v>476</v>
      </c>
      <c r="E142" s="1">
        <v>209826.0</v>
      </c>
      <c r="F142" s="1">
        <v>125513.0</v>
      </c>
      <c r="G142" s="64" t="s">
        <v>528</v>
      </c>
      <c r="H142" s="65" t="s">
        <v>495</v>
      </c>
      <c r="I142" s="1">
        <v>0.0</v>
      </c>
      <c r="J142" s="1" t="s">
        <v>18</v>
      </c>
    </row>
    <row r="143">
      <c r="G143" s="58"/>
      <c r="H143" s="58"/>
    </row>
    <row r="144">
      <c r="B144" s="73">
        <v>45962.0</v>
      </c>
      <c r="G144" s="58"/>
      <c r="H144" s="58"/>
    </row>
    <row r="145">
      <c r="G145" s="58"/>
      <c r="H145" s="58"/>
    </row>
    <row r="146">
      <c r="G146" s="58"/>
      <c r="H146" s="58"/>
    </row>
    <row r="147">
      <c r="G147" s="58"/>
      <c r="H147" s="58"/>
    </row>
    <row r="148">
      <c r="G148" s="58"/>
      <c r="H148" s="58"/>
    </row>
    <row r="149">
      <c r="G149" s="58"/>
      <c r="H149" s="58"/>
    </row>
    <row r="150">
      <c r="G150" s="58"/>
      <c r="H150" s="58"/>
    </row>
    <row r="151">
      <c r="G151" s="58"/>
      <c r="H151" s="58"/>
    </row>
    <row r="152">
      <c r="G152" s="58"/>
      <c r="H152" s="58"/>
    </row>
    <row r="153">
      <c r="G153" s="58"/>
      <c r="H153" s="58"/>
    </row>
    <row r="154">
      <c r="G154" s="58"/>
      <c r="H154" s="58"/>
    </row>
    <row r="155">
      <c r="G155" s="58"/>
      <c r="H155" s="58"/>
    </row>
    <row r="156">
      <c r="G156" s="58"/>
      <c r="H156" s="58"/>
    </row>
    <row r="157">
      <c r="G157" s="58"/>
      <c r="H157" s="58"/>
    </row>
    <row r="158">
      <c r="G158" s="58"/>
      <c r="H158" s="58"/>
    </row>
    <row r="159">
      <c r="G159" s="58"/>
      <c r="H159" s="58"/>
    </row>
    <row r="160">
      <c r="G160" s="58"/>
      <c r="H160" s="58"/>
    </row>
    <row r="161">
      <c r="G161" s="58"/>
      <c r="H161" s="58"/>
    </row>
    <row r="162">
      <c r="G162" s="58"/>
      <c r="H162" s="58"/>
    </row>
    <row r="163">
      <c r="G163" s="58"/>
      <c r="H163" s="58"/>
    </row>
    <row r="164">
      <c r="G164" s="58"/>
      <c r="H164" s="58"/>
    </row>
    <row r="165">
      <c r="G165" s="58"/>
      <c r="H165" s="58"/>
    </row>
    <row r="166">
      <c r="G166" s="58"/>
      <c r="H166" s="58"/>
    </row>
    <row r="167">
      <c r="G167" s="58"/>
      <c r="H167" s="58"/>
    </row>
    <row r="168">
      <c r="G168" s="58"/>
      <c r="H168" s="58"/>
    </row>
    <row r="169">
      <c r="G169" s="58"/>
      <c r="H169" s="58"/>
    </row>
    <row r="170">
      <c r="G170" s="58"/>
      <c r="H170" s="58"/>
    </row>
    <row r="171">
      <c r="G171" s="58"/>
      <c r="H171" s="58"/>
    </row>
    <row r="172">
      <c r="G172" s="58"/>
      <c r="H172" s="58"/>
    </row>
    <row r="173">
      <c r="G173" s="58"/>
      <c r="H173" s="58"/>
    </row>
    <row r="174">
      <c r="G174" s="58"/>
      <c r="H174" s="58"/>
    </row>
    <row r="175">
      <c r="G175" s="58"/>
      <c r="H175" s="58"/>
    </row>
    <row r="176">
      <c r="G176" s="58"/>
      <c r="H176" s="58"/>
    </row>
    <row r="177">
      <c r="G177" s="58"/>
      <c r="H177" s="58"/>
    </row>
    <row r="178">
      <c r="G178" s="58"/>
      <c r="H178" s="58"/>
    </row>
    <row r="179">
      <c r="G179" s="58"/>
      <c r="H179" s="58"/>
    </row>
    <row r="180">
      <c r="G180" s="58"/>
      <c r="H180" s="58"/>
    </row>
    <row r="181">
      <c r="G181" s="58"/>
      <c r="H181" s="58"/>
    </row>
    <row r="182">
      <c r="G182" s="58"/>
      <c r="H182" s="58"/>
    </row>
    <row r="183">
      <c r="G183" s="58"/>
      <c r="H183" s="58"/>
    </row>
    <row r="184">
      <c r="G184" s="58"/>
      <c r="H184" s="58"/>
    </row>
    <row r="185">
      <c r="G185" s="58"/>
      <c r="H185" s="58"/>
    </row>
    <row r="186">
      <c r="G186" s="58"/>
      <c r="H186" s="58"/>
    </row>
    <row r="187">
      <c r="G187" s="58"/>
      <c r="H187" s="58"/>
    </row>
    <row r="188">
      <c r="G188" s="58"/>
      <c r="H188" s="58"/>
    </row>
    <row r="189">
      <c r="G189" s="58"/>
      <c r="H189" s="58"/>
    </row>
    <row r="190">
      <c r="G190" s="58"/>
      <c r="H190" s="58"/>
    </row>
    <row r="191">
      <c r="G191" s="58"/>
      <c r="H191" s="58"/>
    </row>
    <row r="192">
      <c r="G192" s="58"/>
      <c r="H192" s="58"/>
    </row>
    <row r="193">
      <c r="G193" s="58"/>
      <c r="H193" s="58"/>
    </row>
    <row r="194">
      <c r="G194" s="58"/>
      <c r="H194" s="58"/>
    </row>
    <row r="195">
      <c r="G195" s="58"/>
      <c r="H195" s="58"/>
    </row>
    <row r="196">
      <c r="G196" s="58"/>
      <c r="H196" s="58"/>
    </row>
    <row r="197">
      <c r="G197" s="58"/>
      <c r="H197" s="58"/>
    </row>
    <row r="198">
      <c r="G198" s="58"/>
      <c r="H198" s="58"/>
    </row>
    <row r="199">
      <c r="G199" s="58"/>
      <c r="H199" s="58"/>
    </row>
    <row r="200">
      <c r="G200" s="58"/>
      <c r="H200" s="58"/>
    </row>
    <row r="201">
      <c r="G201" s="58"/>
      <c r="H201" s="58"/>
    </row>
    <row r="202">
      <c r="G202" s="58"/>
      <c r="H202" s="58"/>
    </row>
    <row r="203">
      <c r="G203" s="58"/>
      <c r="H203" s="58"/>
    </row>
    <row r="204">
      <c r="G204" s="58"/>
      <c r="H204" s="58"/>
    </row>
    <row r="205">
      <c r="G205" s="58"/>
      <c r="H205" s="58"/>
    </row>
    <row r="206">
      <c r="G206" s="58"/>
      <c r="H206" s="58"/>
    </row>
    <row r="207">
      <c r="G207" s="58"/>
      <c r="H207" s="58"/>
    </row>
    <row r="208">
      <c r="G208" s="58"/>
      <c r="H208" s="58"/>
    </row>
    <row r="209">
      <c r="G209" s="58"/>
      <c r="H209" s="58"/>
    </row>
    <row r="210">
      <c r="G210" s="58"/>
      <c r="H210" s="58"/>
    </row>
    <row r="211">
      <c r="G211" s="58"/>
      <c r="H211" s="58"/>
    </row>
    <row r="212">
      <c r="G212" s="58"/>
      <c r="H212" s="58"/>
    </row>
    <row r="213">
      <c r="G213" s="58"/>
      <c r="H213" s="58"/>
    </row>
    <row r="214">
      <c r="G214" s="58"/>
      <c r="H214" s="58"/>
    </row>
    <row r="215">
      <c r="G215" s="58"/>
      <c r="H215" s="58"/>
    </row>
    <row r="216">
      <c r="G216" s="58"/>
      <c r="H216" s="58"/>
    </row>
    <row r="217">
      <c r="G217" s="58"/>
      <c r="H217" s="58"/>
    </row>
    <row r="218">
      <c r="G218" s="58"/>
      <c r="H218" s="58"/>
    </row>
    <row r="219">
      <c r="G219" s="58"/>
      <c r="H219" s="58"/>
    </row>
    <row r="220">
      <c r="G220" s="58"/>
      <c r="H220" s="58"/>
    </row>
    <row r="221">
      <c r="G221" s="58"/>
      <c r="H221" s="58"/>
    </row>
    <row r="222">
      <c r="G222" s="58"/>
      <c r="H222" s="58"/>
    </row>
    <row r="223">
      <c r="G223" s="58"/>
      <c r="H223" s="58"/>
    </row>
    <row r="224">
      <c r="G224" s="58"/>
      <c r="H224" s="58"/>
    </row>
    <row r="225">
      <c r="G225" s="58"/>
      <c r="H225" s="58"/>
    </row>
    <row r="226">
      <c r="G226" s="58"/>
      <c r="H226" s="58"/>
    </row>
    <row r="227">
      <c r="G227" s="58"/>
      <c r="H227" s="58"/>
    </row>
    <row r="228">
      <c r="G228" s="58"/>
      <c r="H228" s="58"/>
    </row>
    <row r="229">
      <c r="G229" s="58"/>
      <c r="H229" s="58"/>
    </row>
    <row r="230">
      <c r="G230" s="58"/>
      <c r="H230" s="58"/>
    </row>
    <row r="231">
      <c r="G231" s="58"/>
      <c r="H231" s="58"/>
    </row>
    <row r="232">
      <c r="G232" s="58"/>
      <c r="H232" s="58"/>
    </row>
    <row r="233">
      <c r="G233" s="58"/>
      <c r="H233" s="58"/>
    </row>
    <row r="234">
      <c r="G234" s="58"/>
      <c r="H234" s="58"/>
    </row>
    <row r="235">
      <c r="G235" s="58"/>
      <c r="H235" s="58"/>
    </row>
    <row r="236">
      <c r="G236" s="58"/>
      <c r="H236" s="58"/>
    </row>
    <row r="237">
      <c r="G237" s="58"/>
      <c r="H237" s="58"/>
    </row>
    <row r="238">
      <c r="G238" s="58"/>
      <c r="H238" s="58"/>
    </row>
    <row r="239">
      <c r="G239" s="58"/>
      <c r="H239" s="58"/>
    </row>
    <row r="240">
      <c r="G240" s="58"/>
      <c r="H240" s="58"/>
    </row>
    <row r="241">
      <c r="G241" s="58"/>
      <c r="H241" s="58"/>
    </row>
    <row r="242">
      <c r="G242" s="58"/>
      <c r="H242" s="58"/>
    </row>
    <row r="243">
      <c r="G243" s="58"/>
      <c r="H243" s="58"/>
    </row>
    <row r="244">
      <c r="G244" s="58"/>
      <c r="H244" s="58"/>
    </row>
    <row r="245">
      <c r="G245" s="58"/>
      <c r="H245" s="58"/>
    </row>
    <row r="246">
      <c r="G246" s="58"/>
      <c r="H246" s="58"/>
    </row>
    <row r="247">
      <c r="G247" s="58"/>
      <c r="H247" s="58"/>
    </row>
    <row r="248">
      <c r="G248" s="58"/>
      <c r="H248" s="58"/>
    </row>
    <row r="249">
      <c r="G249" s="58"/>
      <c r="H249" s="58"/>
    </row>
    <row r="250">
      <c r="G250" s="58"/>
      <c r="H250" s="58"/>
    </row>
    <row r="251">
      <c r="G251" s="58"/>
      <c r="H251" s="58"/>
    </row>
    <row r="252">
      <c r="G252" s="58"/>
      <c r="H252" s="58"/>
    </row>
    <row r="253">
      <c r="G253" s="58"/>
      <c r="H253" s="58"/>
    </row>
    <row r="254">
      <c r="G254" s="58"/>
      <c r="H254" s="58"/>
    </row>
    <row r="255">
      <c r="G255" s="58"/>
      <c r="H255" s="58"/>
    </row>
    <row r="256">
      <c r="G256" s="58"/>
      <c r="H256" s="58"/>
    </row>
    <row r="257">
      <c r="G257" s="58"/>
      <c r="H257" s="58"/>
    </row>
    <row r="258">
      <c r="G258" s="58"/>
      <c r="H258" s="58"/>
    </row>
    <row r="259">
      <c r="G259" s="58"/>
      <c r="H259" s="58"/>
    </row>
    <row r="260">
      <c r="G260" s="58"/>
      <c r="H260" s="58"/>
    </row>
    <row r="261">
      <c r="G261" s="58"/>
      <c r="H261" s="58"/>
    </row>
    <row r="262">
      <c r="G262" s="58"/>
      <c r="H262" s="58"/>
    </row>
    <row r="263">
      <c r="G263" s="58"/>
      <c r="H263" s="58"/>
    </row>
    <row r="264">
      <c r="G264" s="58"/>
      <c r="H264" s="58"/>
    </row>
    <row r="265">
      <c r="G265" s="58"/>
      <c r="H265" s="58"/>
    </row>
    <row r="266">
      <c r="G266" s="58"/>
      <c r="H266" s="58"/>
    </row>
    <row r="267">
      <c r="G267" s="58"/>
      <c r="H267" s="58"/>
    </row>
    <row r="268">
      <c r="G268" s="58"/>
      <c r="H268" s="58"/>
    </row>
    <row r="269">
      <c r="G269" s="58"/>
      <c r="H269" s="58"/>
    </row>
    <row r="270">
      <c r="G270" s="58"/>
      <c r="H270" s="58"/>
    </row>
    <row r="271">
      <c r="G271" s="58"/>
      <c r="H271" s="58"/>
    </row>
    <row r="272">
      <c r="G272" s="58"/>
      <c r="H272" s="58"/>
    </row>
    <row r="273">
      <c r="G273" s="58"/>
      <c r="H273" s="58"/>
    </row>
    <row r="274">
      <c r="G274" s="58"/>
      <c r="H274" s="58"/>
    </row>
    <row r="275">
      <c r="G275" s="58"/>
      <c r="H275" s="58"/>
    </row>
    <row r="276">
      <c r="G276" s="58"/>
      <c r="H276" s="58"/>
    </row>
    <row r="277">
      <c r="G277" s="58"/>
      <c r="H277" s="58"/>
    </row>
    <row r="278">
      <c r="G278" s="58"/>
      <c r="H278" s="58"/>
    </row>
    <row r="279">
      <c r="G279" s="58"/>
      <c r="H279" s="58"/>
    </row>
    <row r="280">
      <c r="G280" s="58"/>
      <c r="H280" s="58"/>
    </row>
    <row r="281">
      <c r="G281" s="58"/>
      <c r="H281" s="58"/>
    </row>
    <row r="282">
      <c r="G282" s="58"/>
      <c r="H282" s="58"/>
    </row>
    <row r="283">
      <c r="G283" s="58"/>
      <c r="H283" s="58"/>
    </row>
    <row r="284">
      <c r="G284" s="58"/>
      <c r="H284" s="58"/>
    </row>
    <row r="285">
      <c r="G285" s="58"/>
      <c r="H285" s="58"/>
    </row>
    <row r="286">
      <c r="G286" s="58"/>
      <c r="H286" s="58"/>
    </row>
    <row r="287">
      <c r="G287" s="58"/>
      <c r="H287" s="58"/>
    </row>
    <row r="288">
      <c r="G288" s="58"/>
      <c r="H288" s="58"/>
    </row>
    <row r="289">
      <c r="G289" s="58"/>
      <c r="H289" s="58"/>
    </row>
    <row r="290">
      <c r="G290" s="58"/>
      <c r="H290" s="58"/>
    </row>
    <row r="291">
      <c r="G291" s="58"/>
      <c r="H291" s="58"/>
    </row>
    <row r="292">
      <c r="G292" s="58"/>
      <c r="H292" s="58"/>
    </row>
    <row r="293">
      <c r="G293" s="58"/>
      <c r="H293" s="58"/>
    </row>
    <row r="294">
      <c r="G294" s="58"/>
      <c r="H294" s="58"/>
    </row>
    <row r="295">
      <c r="G295" s="58"/>
      <c r="H295" s="58"/>
    </row>
    <row r="296">
      <c r="G296" s="58"/>
      <c r="H296" s="58"/>
    </row>
    <row r="297">
      <c r="G297" s="58"/>
      <c r="H297" s="58"/>
    </row>
    <row r="298">
      <c r="G298" s="58"/>
      <c r="H298" s="58"/>
    </row>
    <row r="299">
      <c r="G299" s="58"/>
      <c r="H299" s="58"/>
    </row>
    <row r="300">
      <c r="G300" s="58"/>
      <c r="H300" s="58"/>
    </row>
    <row r="301">
      <c r="G301" s="58"/>
      <c r="H301" s="58"/>
    </row>
    <row r="302">
      <c r="G302" s="58"/>
      <c r="H302" s="58"/>
    </row>
    <row r="303">
      <c r="G303" s="58"/>
      <c r="H303" s="58"/>
    </row>
    <row r="304">
      <c r="G304" s="58"/>
      <c r="H304" s="58"/>
    </row>
    <row r="305">
      <c r="G305" s="58"/>
      <c r="H305" s="58"/>
    </row>
    <row r="306">
      <c r="G306" s="58"/>
      <c r="H306" s="58"/>
    </row>
    <row r="307">
      <c r="G307" s="58"/>
      <c r="H307" s="58"/>
    </row>
    <row r="308">
      <c r="G308" s="58"/>
      <c r="H308" s="58"/>
    </row>
    <row r="309">
      <c r="G309" s="58"/>
      <c r="H309" s="58"/>
    </row>
    <row r="310">
      <c r="G310" s="58"/>
      <c r="H310" s="58"/>
    </row>
    <row r="311">
      <c r="G311" s="58"/>
      <c r="H311" s="58"/>
    </row>
    <row r="312">
      <c r="G312" s="58"/>
      <c r="H312" s="58"/>
    </row>
    <row r="313">
      <c r="G313" s="58"/>
      <c r="H313" s="58"/>
    </row>
    <row r="314">
      <c r="G314" s="58"/>
      <c r="H314" s="58"/>
    </row>
    <row r="315">
      <c r="G315" s="58"/>
      <c r="H315" s="58"/>
    </row>
    <row r="316">
      <c r="G316" s="58"/>
      <c r="H316" s="58"/>
    </row>
    <row r="317">
      <c r="G317" s="58"/>
      <c r="H317" s="58"/>
    </row>
    <row r="318">
      <c r="G318" s="58"/>
      <c r="H318" s="58"/>
    </row>
    <row r="319">
      <c r="G319" s="58"/>
      <c r="H319" s="58"/>
    </row>
    <row r="320">
      <c r="G320" s="58"/>
      <c r="H320" s="58"/>
    </row>
    <row r="321">
      <c r="G321" s="58"/>
      <c r="H321" s="58"/>
    </row>
    <row r="322">
      <c r="G322" s="58"/>
      <c r="H322" s="58"/>
    </row>
    <row r="323">
      <c r="G323" s="58"/>
      <c r="H323" s="58"/>
    </row>
    <row r="324">
      <c r="G324" s="58"/>
      <c r="H324" s="58"/>
    </row>
    <row r="325">
      <c r="G325" s="58"/>
      <c r="H325" s="58"/>
    </row>
    <row r="326">
      <c r="G326" s="58"/>
      <c r="H326" s="58"/>
    </row>
    <row r="327">
      <c r="G327" s="58"/>
      <c r="H327" s="58"/>
    </row>
    <row r="328">
      <c r="G328" s="58"/>
      <c r="H328" s="58"/>
    </row>
    <row r="329">
      <c r="G329" s="58"/>
      <c r="H329" s="58"/>
    </row>
    <row r="330">
      <c r="G330" s="58"/>
      <c r="H330" s="58"/>
    </row>
    <row r="331">
      <c r="G331" s="58"/>
      <c r="H331" s="58"/>
    </row>
    <row r="332">
      <c r="G332" s="58"/>
      <c r="H332" s="58"/>
    </row>
    <row r="333">
      <c r="G333" s="58"/>
      <c r="H333" s="58"/>
    </row>
    <row r="334">
      <c r="G334" s="58"/>
      <c r="H334" s="58"/>
    </row>
    <row r="335">
      <c r="G335" s="58"/>
      <c r="H335" s="58"/>
    </row>
    <row r="336">
      <c r="G336" s="58"/>
      <c r="H336" s="58"/>
    </row>
    <row r="337">
      <c r="G337" s="58"/>
      <c r="H337" s="58"/>
    </row>
    <row r="338">
      <c r="G338" s="58"/>
      <c r="H338" s="58"/>
    </row>
    <row r="339">
      <c r="G339" s="58"/>
      <c r="H339" s="58"/>
    </row>
    <row r="340">
      <c r="G340" s="58"/>
      <c r="H340" s="58"/>
    </row>
    <row r="341">
      <c r="G341" s="58"/>
      <c r="H341" s="58"/>
    </row>
    <row r="342">
      <c r="G342" s="58"/>
      <c r="H342" s="58"/>
    </row>
    <row r="343">
      <c r="G343" s="58"/>
      <c r="H343" s="58"/>
    </row>
    <row r="344">
      <c r="G344" s="58"/>
      <c r="H344" s="58"/>
    </row>
    <row r="345">
      <c r="G345" s="58"/>
      <c r="H345" s="58"/>
    </row>
    <row r="346">
      <c r="G346" s="58"/>
      <c r="H346" s="58"/>
    </row>
    <row r="347">
      <c r="G347" s="58"/>
      <c r="H347" s="58"/>
    </row>
    <row r="348">
      <c r="G348" s="58"/>
      <c r="H348" s="58"/>
    </row>
    <row r="349">
      <c r="G349" s="58"/>
      <c r="H349" s="58"/>
    </row>
    <row r="350">
      <c r="G350" s="58"/>
      <c r="H350" s="58"/>
    </row>
    <row r="351">
      <c r="G351" s="58"/>
      <c r="H351" s="58"/>
    </row>
    <row r="352">
      <c r="G352" s="58"/>
      <c r="H352" s="58"/>
    </row>
    <row r="353">
      <c r="G353" s="58"/>
      <c r="H353" s="58"/>
    </row>
    <row r="354">
      <c r="G354" s="58"/>
      <c r="H354" s="58"/>
    </row>
    <row r="355">
      <c r="G355" s="58"/>
      <c r="H355" s="58"/>
    </row>
    <row r="356">
      <c r="G356" s="58"/>
      <c r="H356" s="58"/>
    </row>
    <row r="357">
      <c r="G357" s="58"/>
      <c r="H357" s="58"/>
    </row>
    <row r="358">
      <c r="G358" s="58"/>
      <c r="H358" s="58"/>
    </row>
    <row r="359">
      <c r="G359" s="58"/>
      <c r="H359" s="58"/>
    </row>
    <row r="360">
      <c r="G360" s="58"/>
      <c r="H360" s="58"/>
    </row>
    <row r="361">
      <c r="G361" s="58"/>
      <c r="H361" s="58"/>
    </row>
    <row r="362">
      <c r="G362" s="58"/>
      <c r="H362" s="58"/>
    </row>
    <row r="363">
      <c r="G363" s="58"/>
      <c r="H363" s="58"/>
    </row>
    <row r="364">
      <c r="G364" s="58"/>
      <c r="H364" s="58"/>
    </row>
    <row r="365">
      <c r="G365" s="58"/>
      <c r="H365" s="58"/>
    </row>
    <row r="366">
      <c r="G366" s="58"/>
      <c r="H366" s="58"/>
    </row>
    <row r="367">
      <c r="G367" s="58"/>
      <c r="H367" s="58"/>
    </row>
    <row r="368">
      <c r="G368" s="58"/>
      <c r="H368" s="58"/>
    </row>
    <row r="369">
      <c r="G369" s="58"/>
      <c r="H369" s="58"/>
    </row>
    <row r="370">
      <c r="G370" s="58"/>
      <c r="H370" s="58"/>
    </row>
    <row r="371">
      <c r="G371" s="58"/>
      <c r="H371" s="58"/>
    </row>
    <row r="372">
      <c r="G372" s="58"/>
      <c r="H372" s="58"/>
    </row>
    <row r="373">
      <c r="G373" s="58"/>
      <c r="H373" s="58"/>
    </row>
    <row r="374">
      <c r="G374" s="58"/>
      <c r="H374" s="58"/>
    </row>
    <row r="375">
      <c r="G375" s="58"/>
      <c r="H375" s="58"/>
    </row>
    <row r="376">
      <c r="G376" s="58"/>
      <c r="H376" s="58"/>
    </row>
    <row r="377">
      <c r="G377" s="58"/>
      <c r="H377" s="58"/>
    </row>
    <row r="378">
      <c r="G378" s="58"/>
      <c r="H378" s="58"/>
    </row>
    <row r="379">
      <c r="G379" s="58"/>
      <c r="H379" s="58"/>
    </row>
    <row r="380">
      <c r="G380" s="58"/>
      <c r="H380" s="58"/>
    </row>
    <row r="381">
      <c r="G381" s="58"/>
      <c r="H381" s="58"/>
    </row>
    <row r="382">
      <c r="G382" s="58"/>
      <c r="H382" s="58"/>
    </row>
    <row r="383">
      <c r="G383" s="58"/>
      <c r="H383" s="58"/>
    </row>
    <row r="384">
      <c r="G384" s="58"/>
      <c r="H384" s="58"/>
    </row>
    <row r="385">
      <c r="G385" s="58"/>
      <c r="H385" s="58"/>
    </row>
    <row r="386">
      <c r="G386" s="58"/>
      <c r="H386" s="58"/>
    </row>
    <row r="387">
      <c r="G387" s="58"/>
      <c r="H387" s="58"/>
    </row>
    <row r="388">
      <c r="G388" s="58"/>
      <c r="H388" s="58"/>
    </row>
    <row r="389">
      <c r="G389" s="58"/>
      <c r="H389" s="58"/>
    </row>
    <row r="390">
      <c r="G390" s="58"/>
      <c r="H390" s="58"/>
    </row>
    <row r="391">
      <c r="G391" s="58"/>
      <c r="H391" s="58"/>
    </row>
    <row r="392">
      <c r="G392" s="58"/>
      <c r="H392" s="58"/>
    </row>
    <row r="393">
      <c r="G393" s="58"/>
      <c r="H393" s="58"/>
    </row>
    <row r="394">
      <c r="G394" s="58"/>
      <c r="H394" s="58"/>
    </row>
    <row r="395">
      <c r="G395" s="58"/>
      <c r="H395" s="58"/>
    </row>
    <row r="396">
      <c r="G396" s="58"/>
      <c r="H396" s="58"/>
    </row>
    <row r="397">
      <c r="G397" s="58"/>
      <c r="H397" s="58"/>
    </row>
    <row r="398">
      <c r="G398" s="58"/>
      <c r="H398" s="58"/>
    </row>
    <row r="399">
      <c r="G399" s="58"/>
      <c r="H399" s="58"/>
    </row>
    <row r="400">
      <c r="G400" s="58"/>
      <c r="H400" s="58"/>
    </row>
    <row r="401">
      <c r="G401" s="58"/>
      <c r="H401" s="58"/>
    </row>
    <row r="402">
      <c r="G402" s="58"/>
      <c r="H402" s="58"/>
    </row>
    <row r="403">
      <c r="G403" s="58"/>
      <c r="H403" s="58"/>
    </row>
    <row r="404">
      <c r="G404" s="58"/>
      <c r="H404" s="58"/>
    </row>
    <row r="405">
      <c r="G405" s="58"/>
      <c r="H405" s="58"/>
    </row>
    <row r="406">
      <c r="G406" s="58"/>
      <c r="H406" s="58"/>
    </row>
    <row r="407">
      <c r="G407" s="58"/>
      <c r="H407" s="58"/>
    </row>
    <row r="408">
      <c r="G408" s="58"/>
      <c r="H408" s="58"/>
    </row>
    <row r="409">
      <c r="G409" s="58"/>
      <c r="H409" s="58"/>
    </row>
    <row r="410">
      <c r="G410" s="58"/>
      <c r="H410" s="58"/>
    </row>
    <row r="411">
      <c r="G411" s="58"/>
      <c r="H411" s="58"/>
    </row>
    <row r="412">
      <c r="G412" s="58"/>
      <c r="H412" s="58"/>
    </row>
    <row r="413">
      <c r="G413" s="58"/>
      <c r="H413" s="58"/>
    </row>
    <row r="414">
      <c r="G414" s="58"/>
      <c r="H414" s="58"/>
    </row>
    <row r="415">
      <c r="G415" s="58"/>
      <c r="H415" s="58"/>
    </row>
    <row r="416">
      <c r="G416" s="58"/>
      <c r="H416" s="58"/>
    </row>
    <row r="417">
      <c r="G417" s="58"/>
      <c r="H417" s="58"/>
    </row>
    <row r="418">
      <c r="G418" s="58"/>
      <c r="H418" s="58"/>
    </row>
    <row r="419">
      <c r="G419" s="58"/>
      <c r="H419" s="58"/>
    </row>
    <row r="420">
      <c r="G420" s="58"/>
      <c r="H420" s="58"/>
    </row>
    <row r="421">
      <c r="G421" s="58"/>
      <c r="H421" s="58"/>
    </row>
    <row r="422">
      <c r="G422" s="58"/>
      <c r="H422" s="58"/>
    </row>
    <row r="423">
      <c r="G423" s="58"/>
      <c r="H423" s="58"/>
    </row>
    <row r="424">
      <c r="G424" s="58"/>
      <c r="H424" s="58"/>
    </row>
    <row r="425">
      <c r="G425" s="58"/>
      <c r="H425" s="58"/>
    </row>
    <row r="426">
      <c r="G426" s="58"/>
      <c r="H426" s="58"/>
    </row>
    <row r="427">
      <c r="G427" s="58"/>
      <c r="H427" s="58"/>
    </row>
    <row r="428">
      <c r="G428" s="58"/>
      <c r="H428" s="58"/>
    </row>
    <row r="429">
      <c r="G429" s="58"/>
      <c r="H429" s="58"/>
    </row>
    <row r="430">
      <c r="G430" s="58"/>
      <c r="H430" s="58"/>
    </row>
    <row r="431">
      <c r="G431" s="58"/>
      <c r="H431" s="58"/>
    </row>
    <row r="432">
      <c r="G432" s="58"/>
      <c r="H432" s="58"/>
    </row>
    <row r="433">
      <c r="G433" s="58"/>
      <c r="H433" s="58"/>
    </row>
    <row r="434">
      <c r="G434" s="58"/>
      <c r="H434" s="58"/>
    </row>
    <row r="435">
      <c r="G435" s="58"/>
      <c r="H435" s="58"/>
    </row>
    <row r="436">
      <c r="G436" s="58"/>
      <c r="H436" s="58"/>
    </row>
    <row r="437">
      <c r="G437" s="58"/>
      <c r="H437" s="58"/>
    </row>
    <row r="438">
      <c r="G438" s="58"/>
      <c r="H438" s="58"/>
    </row>
    <row r="439">
      <c r="G439" s="58"/>
      <c r="H439" s="58"/>
    </row>
    <row r="440">
      <c r="G440" s="58"/>
      <c r="H440" s="58"/>
    </row>
    <row r="441">
      <c r="G441" s="58"/>
      <c r="H441" s="58"/>
    </row>
    <row r="442">
      <c r="G442" s="58"/>
      <c r="H442" s="58"/>
    </row>
    <row r="443">
      <c r="G443" s="58"/>
      <c r="H443" s="58"/>
    </row>
    <row r="444">
      <c r="G444" s="58"/>
      <c r="H444" s="58"/>
    </row>
    <row r="445">
      <c r="G445" s="58"/>
      <c r="H445" s="58"/>
    </row>
    <row r="446">
      <c r="G446" s="58"/>
      <c r="H446" s="58"/>
    </row>
    <row r="447">
      <c r="G447" s="58"/>
      <c r="H447" s="58"/>
    </row>
    <row r="448">
      <c r="G448" s="58"/>
      <c r="H448" s="58"/>
    </row>
    <row r="449">
      <c r="G449" s="58"/>
      <c r="H449" s="58"/>
    </row>
    <row r="450">
      <c r="G450" s="58"/>
      <c r="H450" s="58"/>
    </row>
    <row r="451">
      <c r="G451" s="58"/>
      <c r="H451" s="58"/>
    </row>
    <row r="452">
      <c r="G452" s="58"/>
      <c r="H452" s="58"/>
    </row>
    <row r="453">
      <c r="G453" s="58"/>
      <c r="H453" s="58"/>
    </row>
    <row r="454">
      <c r="G454" s="58"/>
      <c r="H454" s="58"/>
    </row>
    <row r="455">
      <c r="G455" s="58"/>
      <c r="H455" s="58"/>
    </row>
    <row r="456">
      <c r="G456" s="58"/>
      <c r="H456" s="58"/>
    </row>
    <row r="457">
      <c r="G457" s="58"/>
      <c r="H457" s="58"/>
    </row>
    <row r="458">
      <c r="G458" s="58"/>
      <c r="H458" s="58"/>
    </row>
    <row r="459">
      <c r="G459" s="58"/>
      <c r="H459" s="58"/>
    </row>
    <row r="460">
      <c r="G460" s="58"/>
      <c r="H460" s="58"/>
    </row>
    <row r="461">
      <c r="G461" s="58"/>
      <c r="H461" s="58"/>
    </row>
    <row r="462">
      <c r="G462" s="58"/>
      <c r="H462" s="58"/>
    </row>
    <row r="463">
      <c r="G463" s="58"/>
      <c r="H463" s="58"/>
    </row>
    <row r="464">
      <c r="G464" s="58"/>
      <c r="H464" s="58"/>
    </row>
    <row r="465">
      <c r="G465" s="58"/>
      <c r="H465" s="58"/>
    </row>
    <row r="466">
      <c r="G466" s="58"/>
      <c r="H466" s="58"/>
    </row>
    <row r="467">
      <c r="G467" s="58"/>
      <c r="H467" s="58"/>
    </row>
    <row r="468">
      <c r="G468" s="58"/>
      <c r="H468" s="58"/>
    </row>
    <row r="469">
      <c r="G469" s="58"/>
      <c r="H469" s="58"/>
    </row>
    <row r="470">
      <c r="G470" s="58"/>
      <c r="H470" s="58"/>
    </row>
    <row r="471">
      <c r="G471" s="58"/>
      <c r="H471" s="58"/>
    </row>
    <row r="472">
      <c r="G472" s="58"/>
      <c r="H472" s="58"/>
    </row>
    <row r="473">
      <c r="G473" s="58"/>
      <c r="H473" s="58"/>
    </row>
    <row r="474">
      <c r="G474" s="58"/>
      <c r="H474" s="58"/>
    </row>
    <row r="475">
      <c r="G475" s="58"/>
      <c r="H475" s="58"/>
    </row>
    <row r="476">
      <c r="G476" s="58"/>
      <c r="H476" s="58"/>
    </row>
    <row r="477">
      <c r="G477" s="58"/>
      <c r="H477" s="58"/>
    </row>
    <row r="478">
      <c r="G478" s="58"/>
      <c r="H478" s="58"/>
    </row>
    <row r="479">
      <c r="G479" s="58"/>
      <c r="H479" s="58"/>
    </row>
    <row r="480">
      <c r="G480" s="58"/>
      <c r="H480" s="58"/>
    </row>
    <row r="481">
      <c r="G481" s="58"/>
      <c r="H481" s="58"/>
    </row>
    <row r="482">
      <c r="G482" s="58"/>
      <c r="H482" s="58"/>
    </row>
    <row r="483">
      <c r="G483" s="58"/>
      <c r="H483" s="58"/>
    </row>
    <row r="484">
      <c r="G484" s="58"/>
      <c r="H484" s="58"/>
    </row>
    <row r="485">
      <c r="G485" s="58"/>
      <c r="H485" s="58"/>
    </row>
    <row r="486">
      <c r="G486" s="58"/>
      <c r="H486" s="58"/>
    </row>
    <row r="487">
      <c r="G487" s="58"/>
      <c r="H487" s="58"/>
    </row>
    <row r="488">
      <c r="G488" s="58"/>
      <c r="H488" s="58"/>
    </row>
    <row r="489">
      <c r="G489" s="58"/>
      <c r="H489" s="58"/>
    </row>
    <row r="490">
      <c r="G490" s="58"/>
      <c r="H490" s="58"/>
    </row>
    <row r="491">
      <c r="G491" s="58"/>
      <c r="H491" s="58"/>
    </row>
    <row r="492">
      <c r="G492" s="58"/>
      <c r="H492" s="58"/>
    </row>
    <row r="493">
      <c r="G493" s="58"/>
      <c r="H493" s="58"/>
    </row>
    <row r="494">
      <c r="G494" s="58"/>
      <c r="H494" s="58"/>
    </row>
    <row r="495">
      <c r="G495" s="58"/>
      <c r="H495" s="58"/>
    </row>
    <row r="496">
      <c r="G496" s="58"/>
      <c r="H496" s="58"/>
    </row>
    <row r="497">
      <c r="G497" s="58"/>
      <c r="H497" s="58"/>
    </row>
    <row r="498">
      <c r="G498" s="58"/>
      <c r="H498" s="58"/>
    </row>
    <row r="499">
      <c r="G499" s="58"/>
      <c r="H499" s="58"/>
    </row>
    <row r="500">
      <c r="G500" s="58"/>
      <c r="H500" s="58"/>
    </row>
    <row r="501">
      <c r="G501" s="58"/>
      <c r="H501" s="58"/>
    </row>
    <row r="502">
      <c r="G502" s="58"/>
      <c r="H502" s="58"/>
    </row>
    <row r="503">
      <c r="G503" s="58"/>
      <c r="H503" s="58"/>
    </row>
    <row r="504">
      <c r="G504" s="58"/>
      <c r="H504" s="58"/>
    </row>
    <row r="505">
      <c r="G505" s="58"/>
      <c r="H505" s="58"/>
    </row>
    <row r="506">
      <c r="G506" s="58"/>
      <c r="H506" s="58"/>
    </row>
    <row r="507">
      <c r="G507" s="58"/>
      <c r="H507" s="58"/>
    </row>
    <row r="508">
      <c r="G508" s="58"/>
      <c r="H508" s="58"/>
    </row>
    <row r="509">
      <c r="G509" s="58"/>
      <c r="H509" s="58"/>
    </row>
    <row r="510">
      <c r="G510" s="58"/>
      <c r="H510" s="58"/>
    </row>
    <row r="511">
      <c r="G511" s="58"/>
      <c r="H511" s="58"/>
    </row>
    <row r="512">
      <c r="G512" s="58"/>
      <c r="H512" s="58"/>
    </row>
    <row r="513">
      <c r="G513" s="58"/>
      <c r="H513" s="58"/>
    </row>
    <row r="514">
      <c r="G514" s="58"/>
      <c r="H514" s="58"/>
    </row>
    <row r="515">
      <c r="G515" s="58"/>
      <c r="H515" s="58"/>
    </row>
    <row r="516">
      <c r="G516" s="58"/>
      <c r="H516" s="58"/>
    </row>
    <row r="517">
      <c r="G517" s="58"/>
      <c r="H517" s="58"/>
    </row>
    <row r="518">
      <c r="G518" s="58"/>
      <c r="H518" s="58"/>
    </row>
    <row r="519">
      <c r="G519" s="58"/>
      <c r="H519" s="58"/>
    </row>
    <row r="520">
      <c r="G520" s="58"/>
      <c r="H520" s="58"/>
    </row>
    <row r="521">
      <c r="G521" s="58"/>
      <c r="H521" s="58"/>
    </row>
    <row r="522">
      <c r="G522" s="58"/>
      <c r="H522" s="58"/>
    </row>
    <row r="523">
      <c r="G523" s="58"/>
      <c r="H523" s="58"/>
    </row>
    <row r="524">
      <c r="G524" s="58"/>
      <c r="H524" s="58"/>
    </row>
    <row r="525">
      <c r="G525" s="58"/>
      <c r="H525" s="58"/>
    </row>
    <row r="526">
      <c r="G526" s="58"/>
      <c r="H526" s="58"/>
    </row>
    <row r="527">
      <c r="G527" s="58"/>
      <c r="H527" s="58"/>
    </row>
    <row r="528">
      <c r="G528" s="58"/>
      <c r="H528" s="58"/>
    </row>
    <row r="529">
      <c r="G529" s="58"/>
      <c r="H529" s="58"/>
    </row>
    <row r="530">
      <c r="G530" s="58"/>
      <c r="H530" s="58"/>
    </row>
    <row r="531">
      <c r="G531" s="58"/>
      <c r="H531" s="58"/>
    </row>
    <row r="532">
      <c r="G532" s="58"/>
      <c r="H532" s="58"/>
    </row>
    <row r="533">
      <c r="G533" s="58"/>
      <c r="H533" s="58"/>
    </row>
    <row r="534">
      <c r="G534" s="58"/>
      <c r="H534" s="58"/>
    </row>
    <row r="535">
      <c r="G535" s="58"/>
      <c r="H535" s="58"/>
    </row>
    <row r="536">
      <c r="G536" s="58"/>
      <c r="H536" s="58"/>
    </row>
    <row r="537">
      <c r="G537" s="58"/>
      <c r="H537" s="58"/>
    </row>
    <row r="538">
      <c r="G538" s="58"/>
      <c r="H538" s="58"/>
    </row>
    <row r="539">
      <c r="G539" s="58"/>
      <c r="H539" s="58"/>
    </row>
    <row r="540">
      <c r="G540" s="58"/>
      <c r="H540" s="58"/>
    </row>
    <row r="541">
      <c r="G541" s="58"/>
      <c r="H541" s="58"/>
    </row>
    <row r="542">
      <c r="G542" s="58"/>
      <c r="H542" s="58"/>
    </row>
    <row r="543">
      <c r="G543" s="58"/>
      <c r="H543" s="58"/>
    </row>
    <row r="544">
      <c r="G544" s="58"/>
      <c r="H544" s="58"/>
    </row>
    <row r="545">
      <c r="G545" s="58"/>
      <c r="H545" s="58"/>
    </row>
    <row r="546">
      <c r="G546" s="58"/>
      <c r="H546" s="58"/>
    </row>
    <row r="547">
      <c r="G547" s="58"/>
      <c r="H547" s="58"/>
    </row>
    <row r="548">
      <c r="G548" s="58"/>
      <c r="H548" s="58"/>
    </row>
    <row r="549">
      <c r="G549" s="58"/>
      <c r="H549" s="58"/>
    </row>
    <row r="550">
      <c r="G550" s="58"/>
      <c r="H550" s="58"/>
    </row>
    <row r="551">
      <c r="G551" s="58"/>
      <c r="H551" s="58"/>
    </row>
    <row r="552">
      <c r="G552" s="58"/>
      <c r="H552" s="58"/>
    </row>
    <row r="553">
      <c r="G553" s="58"/>
      <c r="H553" s="58"/>
    </row>
    <row r="554">
      <c r="G554" s="58"/>
      <c r="H554" s="58"/>
    </row>
    <row r="555">
      <c r="G555" s="58"/>
      <c r="H555" s="58"/>
    </row>
    <row r="556">
      <c r="G556" s="58"/>
      <c r="H556" s="58"/>
    </row>
    <row r="557">
      <c r="G557" s="58"/>
      <c r="H557" s="58"/>
    </row>
    <row r="558">
      <c r="G558" s="58"/>
      <c r="H558" s="58"/>
    </row>
    <row r="559">
      <c r="G559" s="58"/>
      <c r="H559" s="58"/>
    </row>
    <row r="560">
      <c r="G560" s="58"/>
      <c r="H560" s="58"/>
    </row>
    <row r="561">
      <c r="G561" s="58"/>
      <c r="H561" s="58"/>
    </row>
    <row r="562">
      <c r="G562" s="58"/>
      <c r="H562" s="58"/>
    </row>
    <row r="563">
      <c r="G563" s="58"/>
      <c r="H563" s="58"/>
    </row>
    <row r="564">
      <c r="G564" s="58"/>
      <c r="H564" s="58"/>
    </row>
    <row r="565">
      <c r="G565" s="58"/>
      <c r="H565" s="58"/>
    </row>
    <row r="566">
      <c r="G566" s="58"/>
      <c r="H566" s="58"/>
    </row>
    <row r="567">
      <c r="G567" s="58"/>
      <c r="H567" s="58"/>
    </row>
    <row r="568">
      <c r="G568" s="58"/>
      <c r="H568" s="58"/>
    </row>
    <row r="569">
      <c r="G569" s="58"/>
      <c r="H569" s="58"/>
    </row>
    <row r="570">
      <c r="G570" s="58"/>
      <c r="H570" s="58"/>
    </row>
    <row r="571">
      <c r="G571" s="58"/>
      <c r="H571" s="58"/>
    </row>
    <row r="572">
      <c r="G572" s="58"/>
      <c r="H572" s="58"/>
    </row>
    <row r="573">
      <c r="G573" s="58"/>
      <c r="H573" s="58"/>
    </row>
    <row r="574">
      <c r="G574" s="58"/>
      <c r="H574" s="58"/>
    </row>
    <row r="575">
      <c r="G575" s="58"/>
      <c r="H575" s="58"/>
    </row>
    <row r="576">
      <c r="G576" s="58"/>
      <c r="H576" s="58"/>
    </row>
    <row r="577">
      <c r="G577" s="58"/>
      <c r="H577" s="58"/>
    </row>
    <row r="578">
      <c r="G578" s="58"/>
      <c r="H578" s="58"/>
    </row>
    <row r="579">
      <c r="G579" s="58"/>
      <c r="H579" s="58"/>
    </row>
    <row r="580">
      <c r="G580" s="58"/>
      <c r="H580" s="58"/>
    </row>
    <row r="581">
      <c r="G581" s="58"/>
      <c r="H581" s="58"/>
    </row>
    <row r="582">
      <c r="G582" s="58"/>
      <c r="H582" s="58"/>
    </row>
    <row r="583">
      <c r="G583" s="58"/>
      <c r="H583" s="58"/>
    </row>
    <row r="584">
      <c r="G584" s="58"/>
      <c r="H584" s="58"/>
    </row>
    <row r="585">
      <c r="G585" s="58"/>
      <c r="H585" s="58"/>
    </row>
    <row r="586">
      <c r="G586" s="58"/>
      <c r="H586" s="58"/>
    </row>
    <row r="587">
      <c r="G587" s="58"/>
      <c r="H587" s="58"/>
    </row>
    <row r="588">
      <c r="G588" s="58"/>
      <c r="H588" s="58"/>
    </row>
    <row r="589">
      <c r="G589" s="58"/>
      <c r="H589" s="58"/>
    </row>
    <row r="590">
      <c r="G590" s="58"/>
      <c r="H590" s="58"/>
    </row>
    <row r="591">
      <c r="G591" s="58"/>
      <c r="H591" s="58"/>
    </row>
    <row r="592">
      <c r="G592" s="58"/>
      <c r="H592" s="58"/>
    </row>
    <row r="593">
      <c r="G593" s="58"/>
      <c r="H593" s="58"/>
    </row>
    <row r="594">
      <c r="G594" s="58"/>
      <c r="H594" s="58"/>
    </row>
    <row r="595">
      <c r="G595" s="58"/>
      <c r="H595" s="58"/>
    </row>
    <row r="596">
      <c r="G596" s="58"/>
      <c r="H596" s="58"/>
    </row>
    <row r="597">
      <c r="G597" s="58"/>
      <c r="H597" s="58"/>
    </row>
    <row r="598">
      <c r="G598" s="58"/>
      <c r="H598" s="58"/>
    </row>
    <row r="599">
      <c r="G599" s="58"/>
      <c r="H599" s="58"/>
    </row>
    <row r="600">
      <c r="G600" s="58"/>
      <c r="H600" s="58"/>
    </row>
    <row r="601">
      <c r="G601" s="58"/>
      <c r="H601" s="58"/>
    </row>
    <row r="602">
      <c r="G602" s="58"/>
      <c r="H602" s="58"/>
    </row>
    <row r="603">
      <c r="G603" s="58"/>
      <c r="H603" s="58"/>
    </row>
    <row r="604">
      <c r="G604" s="58"/>
      <c r="H604" s="58"/>
    </row>
    <row r="605">
      <c r="G605" s="58"/>
      <c r="H605" s="58"/>
    </row>
    <row r="606">
      <c r="G606" s="58"/>
      <c r="H606" s="58"/>
    </row>
    <row r="607">
      <c r="G607" s="58"/>
      <c r="H607" s="58"/>
    </row>
    <row r="608">
      <c r="G608" s="58"/>
      <c r="H608" s="58"/>
    </row>
    <row r="609">
      <c r="G609" s="58"/>
      <c r="H609" s="58"/>
    </row>
    <row r="610">
      <c r="G610" s="58"/>
      <c r="H610" s="58"/>
    </row>
    <row r="611">
      <c r="G611" s="58"/>
      <c r="H611" s="58"/>
    </row>
    <row r="612">
      <c r="G612" s="58"/>
      <c r="H612" s="58"/>
    </row>
    <row r="613">
      <c r="G613" s="58"/>
      <c r="H613" s="58"/>
    </row>
    <row r="614">
      <c r="G614" s="58"/>
      <c r="H614" s="58"/>
    </row>
    <row r="615">
      <c r="G615" s="58"/>
      <c r="H615" s="58"/>
    </row>
    <row r="616">
      <c r="G616" s="58"/>
      <c r="H616" s="58"/>
    </row>
    <row r="617">
      <c r="G617" s="58"/>
      <c r="H617" s="58"/>
    </row>
    <row r="618">
      <c r="G618" s="58"/>
      <c r="H618" s="58"/>
    </row>
    <row r="619">
      <c r="G619" s="58"/>
      <c r="H619" s="58"/>
    </row>
    <row r="620">
      <c r="G620" s="58"/>
      <c r="H620" s="58"/>
    </row>
    <row r="621">
      <c r="G621" s="58"/>
      <c r="H621" s="58"/>
    </row>
    <row r="622">
      <c r="G622" s="58"/>
      <c r="H622" s="58"/>
    </row>
    <row r="623">
      <c r="G623" s="58"/>
      <c r="H623" s="58"/>
    </row>
    <row r="624">
      <c r="G624" s="58"/>
      <c r="H624" s="58"/>
    </row>
    <row r="625">
      <c r="G625" s="58"/>
      <c r="H625" s="58"/>
    </row>
    <row r="626">
      <c r="G626" s="58"/>
      <c r="H626" s="58"/>
    </row>
    <row r="627">
      <c r="G627" s="58"/>
      <c r="H627" s="58"/>
    </row>
    <row r="628">
      <c r="G628" s="58"/>
      <c r="H628" s="58"/>
    </row>
    <row r="629">
      <c r="G629" s="58"/>
      <c r="H629" s="58"/>
    </row>
    <row r="630">
      <c r="G630" s="58"/>
      <c r="H630" s="58"/>
    </row>
    <row r="631">
      <c r="G631" s="58"/>
      <c r="H631" s="58"/>
    </row>
    <row r="632">
      <c r="G632" s="58"/>
      <c r="H632" s="58"/>
    </row>
    <row r="633">
      <c r="G633" s="58"/>
      <c r="H633" s="58"/>
    </row>
    <row r="634">
      <c r="G634" s="58"/>
      <c r="H634" s="58"/>
    </row>
    <row r="635">
      <c r="G635" s="58"/>
      <c r="H635" s="58"/>
    </row>
    <row r="636">
      <c r="G636" s="58"/>
      <c r="H636" s="58"/>
    </row>
    <row r="637">
      <c r="G637" s="58"/>
      <c r="H637" s="58"/>
    </row>
    <row r="638">
      <c r="G638" s="58"/>
      <c r="H638" s="58"/>
    </row>
    <row r="639">
      <c r="G639" s="58"/>
      <c r="H639" s="58"/>
    </row>
    <row r="640">
      <c r="G640" s="58"/>
      <c r="H640" s="58"/>
    </row>
    <row r="641">
      <c r="G641" s="58"/>
      <c r="H641" s="58"/>
    </row>
    <row r="642">
      <c r="G642" s="58"/>
      <c r="H642" s="58"/>
    </row>
    <row r="643">
      <c r="G643" s="58"/>
      <c r="H643" s="58"/>
    </row>
    <row r="644">
      <c r="G644" s="58"/>
      <c r="H644" s="58"/>
    </row>
    <row r="645">
      <c r="G645" s="58"/>
      <c r="H645" s="58"/>
    </row>
    <row r="646">
      <c r="G646" s="58"/>
      <c r="H646" s="58"/>
    </row>
    <row r="647">
      <c r="G647" s="58"/>
      <c r="H647" s="58"/>
    </row>
    <row r="648">
      <c r="G648" s="58"/>
      <c r="H648" s="58"/>
    </row>
    <row r="649">
      <c r="G649" s="58"/>
      <c r="H649" s="58"/>
    </row>
    <row r="650">
      <c r="G650" s="58"/>
      <c r="H650" s="58"/>
    </row>
    <row r="651">
      <c r="G651" s="58"/>
      <c r="H651" s="58"/>
    </row>
    <row r="652">
      <c r="G652" s="58"/>
      <c r="H652" s="58"/>
    </row>
    <row r="653">
      <c r="G653" s="58"/>
      <c r="H653" s="58"/>
    </row>
    <row r="654">
      <c r="G654" s="58"/>
      <c r="H654" s="58"/>
    </row>
    <row r="655">
      <c r="G655" s="58"/>
      <c r="H655" s="58"/>
    </row>
    <row r="656">
      <c r="G656" s="58"/>
      <c r="H656" s="58"/>
    </row>
    <row r="657">
      <c r="G657" s="58"/>
      <c r="H657" s="58"/>
    </row>
    <row r="658">
      <c r="G658" s="58"/>
      <c r="H658" s="58"/>
    </row>
    <row r="659">
      <c r="G659" s="58"/>
      <c r="H659" s="58"/>
    </row>
    <row r="660">
      <c r="G660" s="58"/>
      <c r="H660" s="58"/>
    </row>
    <row r="661">
      <c r="G661" s="58"/>
      <c r="H661" s="58"/>
    </row>
    <row r="662">
      <c r="G662" s="58"/>
      <c r="H662" s="58"/>
    </row>
    <row r="663">
      <c r="G663" s="58"/>
      <c r="H663" s="58"/>
    </row>
    <row r="664">
      <c r="G664" s="58"/>
      <c r="H664" s="58"/>
    </row>
    <row r="665">
      <c r="G665" s="58"/>
      <c r="H665" s="58"/>
    </row>
    <row r="666">
      <c r="G666" s="58"/>
      <c r="H666" s="58"/>
    </row>
    <row r="667">
      <c r="G667" s="58"/>
      <c r="H667" s="58"/>
    </row>
    <row r="668">
      <c r="G668" s="58"/>
      <c r="H668" s="58"/>
    </row>
    <row r="669">
      <c r="G669" s="58"/>
      <c r="H669" s="58"/>
    </row>
    <row r="670">
      <c r="G670" s="58"/>
      <c r="H670" s="58"/>
    </row>
    <row r="671">
      <c r="G671" s="58"/>
      <c r="H671" s="58"/>
    </row>
    <row r="672">
      <c r="G672" s="58"/>
      <c r="H672" s="58"/>
    </row>
    <row r="673">
      <c r="G673" s="58"/>
      <c r="H673" s="58"/>
    </row>
    <row r="674">
      <c r="G674" s="58"/>
      <c r="H674" s="58"/>
    </row>
    <row r="675">
      <c r="G675" s="58"/>
      <c r="H675" s="58"/>
    </row>
    <row r="676">
      <c r="G676" s="58"/>
      <c r="H676" s="58"/>
    </row>
    <row r="677">
      <c r="G677" s="58"/>
      <c r="H677" s="58"/>
    </row>
    <row r="678">
      <c r="G678" s="58"/>
      <c r="H678" s="58"/>
    </row>
    <row r="679">
      <c r="G679" s="58"/>
      <c r="H679" s="58"/>
    </row>
    <row r="680">
      <c r="G680" s="58"/>
      <c r="H680" s="58"/>
    </row>
    <row r="681">
      <c r="G681" s="58"/>
      <c r="H681" s="58"/>
    </row>
    <row r="682">
      <c r="G682" s="58"/>
      <c r="H682" s="58"/>
    </row>
    <row r="683">
      <c r="G683" s="58"/>
      <c r="H683" s="58"/>
    </row>
    <row r="684">
      <c r="G684" s="58"/>
      <c r="H684" s="58"/>
    </row>
    <row r="685">
      <c r="G685" s="58"/>
      <c r="H685" s="58"/>
    </row>
    <row r="686">
      <c r="G686" s="58"/>
      <c r="H686" s="58"/>
    </row>
    <row r="687">
      <c r="G687" s="58"/>
      <c r="H687" s="58"/>
    </row>
    <row r="688">
      <c r="G688" s="58"/>
      <c r="H688" s="58"/>
    </row>
    <row r="689">
      <c r="G689" s="58"/>
      <c r="H689" s="58"/>
    </row>
    <row r="690">
      <c r="G690" s="58"/>
      <c r="H690" s="58"/>
    </row>
    <row r="691">
      <c r="G691" s="58"/>
      <c r="H691" s="58"/>
    </row>
    <row r="692">
      <c r="G692" s="58"/>
      <c r="H692" s="58"/>
    </row>
    <row r="693">
      <c r="G693" s="58"/>
      <c r="H693" s="58"/>
    </row>
    <row r="694">
      <c r="G694" s="58"/>
      <c r="H694" s="58"/>
    </row>
    <row r="695">
      <c r="G695" s="58"/>
      <c r="H695" s="58"/>
    </row>
    <row r="696">
      <c r="G696" s="58"/>
      <c r="H696" s="58"/>
    </row>
    <row r="697">
      <c r="G697" s="58"/>
      <c r="H697" s="58"/>
    </row>
    <row r="698">
      <c r="G698" s="58"/>
      <c r="H698" s="58"/>
    </row>
    <row r="699">
      <c r="G699" s="58"/>
      <c r="H699" s="58"/>
    </row>
    <row r="700">
      <c r="G700" s="58"/>
      <c r="H700" s="58"/>
    </row>
    <row r="701">
      <c r="G701" s="58"/>
      <c r="H701" s="58"/>
    </row>
    <row r="702">
      <c r="G702" s="58"/>
      <c r="H702" s="58"/>
    </row>
    <row r="703">
      <c r="G703" s="58"/>
      <c r="H703" s="58"/>
    </row>
    <row r="704">
      <c r="G704" s="58"/>
      <c r="H704" s="58"/>
    </row>
    <row r="705">
      <c r="G705" s="58"/>
      <c r="H705" s="58"/>
    </row>
    <row r="706">
      <c r="G706" s="58"/>
      <c r="H706" s="58"/>
    </row>
    <row r="707">
      <c r="G707" s="58"/>
      <c r="H707" s="58"/>
    </row>
    <row r="708">
      <c r="G708" s="58"/>
      <c r="H708" s="58"/>
    </row>
    <row r="709">
      <c r="G709" s="58"/>
      <c r="H709" s="58"/>
    </row>
    <row r="710">
      <c r="G710" s="58"/>
      <c r="H710" s="58"/>
    </row>
    <row r="711">
      <c r="G711" s="58"/>
      <c r="H711" s="58"/>
    </row>
    <row r="712">
      <c r="G712" s="58"/>
      <c r="H712" s="58"/>
    </row>
    <row r="713">
      <c r="G713" s="58"/>
      <c r="H713" s="58"/>
    </row>
    <row r="714">
      <c r="G714" s="58"/>
      <c r="H714" s="58"/>
    </row>
    <row r="715">
      <c r="G715" s="58"/>
      <c r="H715" s="58"/>
    </row>
    <row r="716">
      <c r="G716" s="58"/>
      <c r="H716" s="58"/>
    </row>
    <row r="717">
      <c r="G717" s="58"/>
      <c r="H717" s="58"/>
    </row>
    <row r="718">
      <c r="G718" s="58"/>
      <c r="H718" s="58"/>
    </row>
    <row r="719">
      <c r="G719" s="58"/>
      <c r="H719" s="58"/>
    </row>
    <row r="720">
      <c r="G720" s="58"/>
      <c r="H720" s="58"/>
    </row>
    <row r="721">
      <c r="G721" s="58"/>
      <c r="H721" s="58"/>
    </row>
    <row r="722">
      <c r="G722" s="58"/>
      <c r="H722" s="58"/>
    </row>
    <row r="723">
      <c r="G723" s="58"/>
      <c r="H723" s="58"/>
    </row>
    <row r="724">
      <c r="G724" s="58"/>
      <c r="H724" s="58"/>
    </row>
    <row r="725">
      <c r="G725" s="58"/>
      <c r="H725" s="58"/>
    </row>
    <row r="726">
      <c r="G726" s="58"/>
      <c r="H726" s="58"/>
    </row>
    <row r="727">
      <c r="G727" s="58"/>
      <c r="H727" s="58"/>
    </row>
    <row r="728">
      <c r="G728" s="58"/>
      <c r="H728" s="58"/>
    </row>
    <row r="729">
      <c r="G729" s="58"/>
      <c r="H729" s="58"/>
    </row>
    <row r="730">
      <c r="G730" s="58"/>
      <c r="H730" s="58"/>
    </row>
    <row r="731">
      <c r="G731" s="58"/>
      <c r="H731" s="58"/>
    </row>
    <row r="732">
      <c r="G732" s="58"/>
      <c r="H732" s="58"/>
    </row>
    <row r="733">
      <c r="G733" s="58"/>
      <c r="H733" s="58"/>
    </row>
    <row r="734">
      <c r="G734" s="58"/>
      <c r="H734" s="58"/>
    </row>
    <row r="735">
      <c r="G735" s="58"/>
      <c r="H735" s="58"/>
    </row>
    <row r="736">
      <c r="G736" s="58"/>
      <c r="H736" s="58"/>
    </row>
    <row r="737">
      <c r="G737" s="58"/>
      <c r="H737" s="58"/>
    </row>
    <row r="738">
      <c r="G738" s="58"/>
      <c r="H738" s="58"/>
    </row>
    <row r="739">
      <c r="G739" s="58"/>
      <c r="H739" s="58"/>
    </row>
    <row r="740">
      <c r="G740" s="58"/>
      <c r="H740" s="58"/>
    </row>
    <row r="741">
      <c r="G741" s="58"/>
      <c r="H741" s="58"/>
    </row>
    <row r="742">
      <c r="G742" s="58"/>
      <c r="H742" s="58"/>
    </row>
    <row r="743">
      <c r="G743" s="58"/>
      <c r="H743" s="58"/>
    </row>
    <row r="744">
      <c r="G744" s="58"/>
      <c r="H744" s="58"/>
    </row>
    <row r="745">
      <c r="G745" s="58"/>
      <c r="H745" s="58"/>
    </row>
    <row r="746">
      <c r="G746" s="58"/>
      <c r="H746" s="58"/>
    </row>
    <row r="747">
      <c r="G747" s="58"/>
      <c r="H747" s="58"/>
    </row>
    <row r="748">
      <c r="G748" s="58"/>
      <c r="H748" s="58"/>
    </row>
    <row r="749">
      <c r="G749" s="58"/>
      <c r="H749" s="58"/>
    </row>
    <row r="750">
      <c r="G750" s="58"/>
      <c r="H750" s="58"/>
    </row>
    <row r="751">
      <c r="G751" s="58"/>
      <c r="H751" s="58"/>
    </row>
    <row r="752">
      <c r="G752" s="58"/>
      <c r="H752" s="58"/>
    </row>
    <row r="753">
      <c r="G753" s="58"/>
      <c r="H753" s="58"/>
    </row>
    <row r="754">
      <c r="G754" s="58"/>
      <c r="H754" s="58"/>
    </row>
    <row r="755">
      <c r="G755" s="58"/>
      <c r="H755" s="58"/>
    </row>
    <row r="756">
      <c r="G756" s="58"/>
      <c r="H756" s="58"/>
    </row>
    <row r="757">
      <c r="G757" s="58"/>
      <c r="H757" s="58"/>
    </row>
    <row r="758">
      <c r="G758" s="58"/>
      <c r="H758" s="58"/>
    </row>
    <row r="759">
      <c r="G759" s="58"/>
      <c r="H759" s="58"/>
    </row>
    <row r="760">
      <c r="G760" s="58"/>
      <c r="H760" s="58"/>
    </row>
    <row r="761">
      <c r="G761" s="58"/>
      <c r="H761" s="58"/>
    </row>
    <row r="762">
      <c r="G762" s="58"/>
      <c r="H762" s="58"/>
    </row>
    <row r="763">
      <c r="G763" s="58"/>
      <c r="H763" s="58"/>
    </row>
    <row r="764">
      <c r="G764" s="58"/>
      <c r="H764" s="58"/>
    </row>
    <row r="765">
      <c r="G765" s="58"/>
      <c r="H765" s="58"/>
    </row>
    <row r="766">
      <c r="G766" s="58"/>
      <c r="H766" s="58"/>
    </row>
    <row r="767">
      <c r="G767" s="58"/>
      <c r="H767" s="58"/>
    </row>
    <row r="768">
      <c r="G768" s="58"/>
      <c r="H768" s="58"/>
    </row>
    <row r="769">
      <c r="G769" s="58"/>
      <c r="H769" s="58"/>
    </row>
    <row r="770">
      <c r="G770" s="58"/>
      <c r="H770" s="58"/>
    </row>
    <row r="771">
      <c r="G771" s="58"/>
      <c r="H771" s="58"/>
    </row>
    <row r="772">
      <c r="G772" s="58"/>
      <c r="H772" s="58"/>
    </row>
    <row r="773">
      <c r="G773" s="58"/>
      <c r="H773" s="58"/>
    </row>
    <row r="774">
      <c r="G774" s="58"/>
      <c r="H774" s="58"/>
    </row>
    <row r="775">
      <c r="G775" s="58"/>
      <c r="H775" s="58"/>
    </row>
    <row r="776">
      <c r="G776" s="58"/>
      <c r="H776" s="58"/>
    </row>
    <row r="777">
      <c r="G777" s="58"/>
      <c r="H777" s="58"/>
    </row>
    <row r="778">
      <c r="G778" s="58"/>
      <c r="H778" s="58"/>
    </row>
    <row r="779">
      <c r="G779" s="58"/>
      <c r="H779" s="58"/>
    </row>
    <row r="780">
      <c r="G780" s="58"/>
      <c r="H780" s="58"/>
    </row>
    <row r="781">
      <c r="G781" s="58"/>
      <c r="H781" s="58"/>
    </row>
    <row r="782">
      <c r="G782" s="58"/>
      <c r="H782" s="58"/>
    </row>
    <row r="783">
      <c r="G783" s="58"/>
      <c r="H783" s="58"/>
    </row>
    <row r="784">
      <c r="G784" s="58"/>
      <c r="H784" s="58"/>
    </row>
    <row r="785">
      <c r="G785" s="58"/>
      <c r="H785" s="58"/>
    </row>
    <row r="786">
      <c r="G786" s="58"/>
      <c r="H786" s="58"/>
    </row>
    <row r="787">
      <c r="G787" s="58"/>
      <c r="H787" s="58"/>
    </row>
    <row r="788">
      <c r="G788" s="58"/>
      <c r="H788" s="58"/>
    </row>
    <row r="789">
      <c r="G789" s="58"/>
      <c r="H789" s="58"/>
    </row>
    <row r="790">
      <c r="G790" s="58"/>
      <c r="H790" s="58"/>
    </row>
    <row r="791">
      <c r="G791" s="58"/>
      <c r="H791" s="58"/>
    </row>
    <row r="792">
      <c r="G792" s="58"/>
      <c r="H792" s="58"/>
    </row>
    <row r="793">
      <c r="G793" s="58"/>
      <c r="H793" s="58"/>
    </row>
    <row r="794">
      <c r="G794" s="58"/>
      <c r="H794" s="58"/>
    </row>
    <row r="795">
      <c r="G795" s="58"/>
      <c r="H795" s="58"/>
    </row>
    <row r="796">
      <c r="G796" s="58"/>
      <c r="H796" s="58"/>
    </row>
    <row r="797">
      <c r="G797" s="58"/>
      <c r="H797" s="58"/>
    </row>
    <row r="798">
      <c r="G798" s="58"/>
      <c r="H798" s="58"/>
    </row>
    <row r="799">
      <c r="G799" s="58"/>
      <c r="H799" s="58"/>
    </row>
    <row r="800">
      <c r="G800" s="58"/>
      <c r="H800" s="58"/>
    </row>
    <row r="801">
      <c r="G801" s="58"/>
      <c r="H801" s="58"/>
    </row>
    <row r="802">
      <c r="G802" s="58"/>
      <c r="H802" s="58"/>
    </row>
    <row r="803">
      <c r="G803" s="58"/>
      <c r="H803" s="58"/>
    </row>
    <row r="804">
      <c r="G804" s="58"/>
      <c r="H804" s="58"/>
    </row>
    <row r="805">
      <c r="G805" s="58"/>
      <c r="H805" s="58"/>
    </row>
    <row r="806">
      <c r="G806" s="58"/>
      <c r="H806" s="58"/>
    </row>
    <row r="807">
      <c r="G807" s="58"/>
      <c r="H807" s="58"/>
    </row>
    <row r="808">
      <c r="G808" s="58"/>
      <c r="H808" s="58"/>
    </row>
    <row r="809">
      <c r="G809" s="58"/>
      <c r="H809" s="58"/>
    </row>
    <row r="810">
      <c r="G810" s="58"/>
      <c r="H810" s="58"/>
    </row>
    <row r="811">
      <c r="G811" s="58"/>
      <c r="H811" s="58"/>
    </row>
    <row r="812">
      <c r="G812" s="58"/>
      <c r="H812" s="58"/>
    </row>
    <row r="813">
      <c r="G813" s="58"/>
      <c r="H813" s="58"/>
    </row>
    <row r="814">
      <c r="G814" s="58"/>
      <c r="H814" s="58"/>
    </row>
    <row r="815">
      <c r="G815" s="58"/>
      <c r="H815" s="58"/>
    </row>
    <row r="816">
      <c r="G816" s="58"/>
      <c r="H816" s="58"/>
    </row>
    <row r="817">
      <c r="G817" s="58"/>
      <c r="H817" s="58"/>
    </row>
    <row r="818">
      <c r="G818" s="58"/>
      <c r="H818" s="58"/>
    </row>
    <row r="819">
      <c r="G819" s="58"/>
      <c r="H819" s="58"/>
    </row>
    <row r="820">
      <c r="G820" s="58"/>
      <c r="H820" s="58"/>
    </row>
    <row r="821">
      <c r="G821" s="58"/>
      <c r="H821" s="58"/>
    </row>
    <row r="822">
      <c r="G822" s="58"/>
      <c r="H822" s="58"/>
    </row>
    <row r="823">
      <c r="G823" s="58"/>
      <c r="H823" s="58"/>
    </row>
    <row r="824">
      <c r="G824" s="58"/>
      <c r="H824" s="58"/>
    </row>
    <row r="825">
      <c r="G825" s="58"/>
      <c r="H825" s="58"/>
    </row>
    <row r="826">
      <c r="G826" s="58"/>
      <c r="H826" s="58"/>
    </row>
    <row r="827">
      <c r="G827" s="58"/>
      <c r="H827" s="58"/>
    </row>
    <row r="828">
      <c r="G828" s="58"/>
      <c r="H828" s="58"/>
    </row>
    <row r="829">
      <c r="G829" s="58"/>
      <c r="H829" s="58"/>
    </row>
    <row r="830">
      <c r="G830" s="58"/>
      <c r="H830" s="58"/>
    </row>
    <row r="831">
      <c r="G831" s="58"/>
      <c r="H831" s="58"/>
    </row>
    <row r="832">
      <c r="G832" s="58"/>
      <c r="H832" s="58"/>
    </row>
    <row r="833">
      <c r="G833" s="58"/>
      <c r="H833" s="58"/>
    </row>
    <row r="834">
      <c r="G834" s="58"/>
      <c r="H834" s="58"/>
    </row>
    <row r="835">
      <c r="G835" s="58"/>
      <c r="H835" s="58"/>
    </row>
    <row r="836">
      <c r="G836" s="58"/>
      <c r="H836" s="58"/>
    </row>
    <row r="837">
      <c r="G837" s="58"/>
      <c r="H837" s="58"/>
    </row>
    <row r="838">
      <c r="G838" s="58"/>
      <c r="H838" s="58"/>
    </row>
    <row r="839">
      <c r="G839" s="58"/>
      <c r="H839" s="58"/>
    </row>
    <row r="840">
      <c r="G840" s="58"/>
      <c r="H840" s="58"/>
    </row>
    <row r="841">
      <c r="G841" s="58"/>
      <c r="H841" s="58"/>
    </row>
    <row r="842">
      <c r="G842" s="58"/>
      <c r="H842" s="58"/>
    </row>
    <row r="843">
      <c r="G843" s="58"/>
      <c r="H843" s="58"/>
    </row>
    <row r="844">
      <c r="G844" s="58"/>
      <c r="H844" s="58"/>
    </row>
    <row r="845">
      <c r="G845" s="58"/>
      <c r="H845" s="58"/>
    </row>
    <row r="846">
      <c r="G846" s="58"/>
      <c r="H846" s="58"/>
    </row>
    <row r="847">
      <c r="G847" s="58"/>
      <c r="H847" s="58"/>
    </row>
    <row r="848">
      <c r="G848" s="58"/>
      <c r="H848" s="58"/>
    </row>
    <row r="849">
      <c r="G849" s="58"/>
      <c r="H849" s="58"/>
    </row>
    <row r="850">
      <c r="G850" s="58"/>
      <c r="H850" s="58"/>
    </row>
    <row r="851">
      <c r="G851" s="58"/>
      <c r="H851" s="58"/>
    </row>
    <row r="852">
      <c r="G852" s="58"/>
      <c r="H852" s="58"/>
    </row>
    <row r="853">
      <c r="G853" s="58"/>
      <c r="H853" s="58"/>
    </row>
    <row r="854">
      <c r="G854" s="58"/>
      <c r="H854" s="58"/>
    </row>
    <row r="855">
      <c r="G855" s="58"/>
      <c r="H855" s="58"/>
    </row>
    <row r="856">
      <c r="G856" s="58"/>
      <c r="H856" s="58"/>
    </row>
    <row r="857">
      <c r="G857" s="58"/>
      <c r="H857" s="58"/>
    </row>
    <row r="858">
      <c r="G858" s="58"/>
      <c r="H858" s="58"/>
    </row>
    <row r="859">
      <c r="G859" s="58"/>
      <c r="H859" s="58"/>
    </row>
    <row r="860">
      <c r="G860" s="58"/>
      <c r="H860" s="58"/>
    </row>
    <row r="861">
      <c r="G861" s="58"/>
      <c r="H861" s="58"/>
    </row>
    <row r="862">
      <c r="G862" s="58"/>
      <c r="H862" s="58"/>
    </row>
    <row r="863">
      <c r="G863" s="58"/>
      <c r="H863" s="58"/>
    </row>
    <row r="864">
      <c r="G864" s="58"/>
      <c r="H864" s="58"/>
    </row>
    <row r="865">
      <c r="G865" s="58"/>
      <c r="H865" s="58"/>
    </row>
    <row r="866">
      <c r="G866" s="58"/>
      <c r="H866" s="58"/>
    </row>
    <row r="867">
      <c r="G867" s="58"/>
      <c r="H867" s="58"/>
    </row>
    <row r="868">
      <c r="G868" s="58"/>
      <c r="H868" s="58"/>
    </row>
    <row r="869">
      <c r="G869" s="58"/>
      <c r="H869" s="58"/>
    </row>
    <row r="870">
      <c r="G870" s="58"/>
      <c r="H870" s="58"/>
    </row>
    <row r="871">
      <c r="G871" s="58"/>
      <c r="H871" s="58"/>
    </row>
    <row r="872">
      <c r="G872" s="58"/>
      <c r="H872" s="58"/>
    </row>
    <row r="873">
      <c r="G873" s="58"/>
      <c r="H873" s="58"/>
    </row>
    <row r="874">
      <c r="G874" s="58"/>
      <c r="H874" s="58"/>
    </row>
    <row r="875">
      <c r="G875" s="58"/>
      <c r="H875" s="58"/>
    </row>
    <row r="876">
      <c r="G876" s="58"/>
      <c r="H876" s="58"/>
    </row>
    <row r="877">
      <c r="G877" s="58"/>
      <c r="H877" s="58"/>
    </row>
    <row r="878">
      <c r="G878" s="58"/>
      <c r="H878" s="58"/>
    </row>
    <row r="879">
      <c r="G879" s="58"/>
      <c r="H879" s="58"/>
    </row>
    <row r="880">
      <c r="G880" s="58"/>
      <c r="H880" s="58"/>
    </row>
    <row r="881">
      <c r="G881" s="58"/>
      <c r="H881" s="58"/>
    </row>
    <row r="882">
      <c r="G882" s="58"/>
      <c r="H882" s="58"/>
    </row>
    <row r="883">
      <c r="G883" s="58"/>
      <c r="H883" s="58"/>
    </row>
    <row r="884">
      <c r="G884" s="58"/>
      <c r="H884" s="58"/>
    </row>
    <row r="885">
      <c r="G885" s="58"/>
      <c r="H885" s="58"/>
    </row>
    <row r="886">
      <c r="G886" s="58"/>
      <c r="H886" s="58"/>
    </row>
    <row r="887">
      <c r="G887" s="58"/>
      <c r="H887" s="58"/>
    </row>
    <row r="888">
      <c r="G888" s="58"/>
      <c r="H888" s="58"/>
    </row>
    <row r="889">
      <c r="G889" s="58"/>
      <c r="H889" s="58"/>
    </row>
    <row r="890">
      <c r="G890" s="58"/>
      <c r="H890" s="58"/>
    </row>
    <row r="891">
      <c r="G891" s="58"/>
      <c r="H891" s="58"/>
    </row>
    <row r="892">
      <c r="G892" s="58"/>
      <c r="H892" s="58"/>
    </row>
    <row r="893">
      <c r="G893" s="58"/>
      <c r="H893" s="58"/>
    </row>
    <row r="894">
      <c r="G894" s="58"/>
      <c r="H894" s="58"/>
    </row>
    <row r="895">
      <c r="G895" s="58"/>
      <c r="H895" s="58"/>
    </row>
    <row r="896">
      <c r="G896" s="58"/>
      <c r="H896" s="58"/>
    </row>
    <row r="897">
      <c r="G897" s="58"/>
      <c r="H897" s="58"/>
    </row>
    <row r="898">
      <c r="G898" s="58"/>
      <c r="H898" s="58"/>
    </row>
    <row r="899">
      <c r="G899" s="58"/>
      <c r="H899" s="58"/>
    </row>
    <row r="900">
      <c r="G900" s="58"/>
      <c r="H900" s="58"/>
    </row>
    <row r="901">
      <c r="G901" s="58"/>
      <c r="H901" s="58"/>
    </row>
    <row r="902">
      <c r="G902" s="58"/>
      <c r="H902" s="58"/>
    </row>
    <row r="903">
      <c r="G903" s="58"/>
      <c r="H903" s="58"/>
    </row>
    <row r="904">
      <c r="G904" s="58"/>
      <c r="H904" s="58"/>
    </row>
    <row r="905">
      <c r="G905" s="58"/>
      <c r="H905" s="58"/>
    </row>
    <row r="906">
      <c r="G906" s="58"/>
      <c r="H906" s="58"/>
    </row>
    <row r="907">
      <c r="G907" s="58"/>
      <c r="H907" s="58"/>
    </row>
    <row r="908">
      <c r="G908" s="58"/>
      <c r="H908" s="58"/>
    </row>
    <row r="909">
      <c r="G909" s="58"/>
      <c r="H909" s="58"/>
    </row>
    <row r="910">
      <c r="G910" s="58"/>
      <c r="H910" s="58"/>
    </row>
    <row r="911">
      <c r="G911" s="58"/>
      <c r="H911" s="58"/>
    </row>
    <row r="912">
      <c r="G912" s="58"/>
      <c r="H912" s="58"/>
    </row>
    <row r="913">
      <c r="G913" s="58"/>
      <c r="H913" s="58"/>
    </row>
    <row r="914">
      <c r="G914" s="58"/>
      <c r="H914" s="58"/>
    </row>
    <row r="915">
      <c r="G915" s="58"/>
      <c r="H915" s="58"/>
    </row>
    <row r="916">
      <c r="G916" s="58"/>
      <c r="H916" s="58"/>
    </row>
    <row r="917">
      <c r="G917" s="58"/>
      <c r="H917" s="58"/>
    </row>
    <row r="918">
      <c r="G918" s="58"/>
      <c r="H918" s="58"/>
    </row>
    <row r="919">
      <c r="G919" s="58"/>
      <c r="H919" s="58"/>
    </row>
    <row r="920">
      <c r="G920" s="58"/>
      <c r="H920" s="58"/>
    </row>
    <row r="921">
      <c r="G921" s="58"/>
      <c r="H921" s="58"/>
    </row>
    <row r="922">
      <c r="G922" s="58"/>
      <c r="H922" s="58"/>
    </row>
    <row r="923">
      <c r="G923" s="58"/>
      <c r="H923" s="58"/>
    </row>
    <row r="924">
      <c r="G924" s="58"/>
      <c r="H924" s="58"/>
    </row>
    <row r="925">
      <c r="G925" s="58"/>
      <c r="H925" s="58"/>
    </row>
    <row r="926">
      <c r="G926" s="58"/>
      <c r="H926" s="58"/>
    </row>
    <row r="927">
      <c r="G927" s="58"/>
      <c r="H927" s="58"/>
    </row>
    <row r="928">
      <c r="G928" s="58"/>
      <c r="H928" s="58"/>
    </row>
    <row r="929">
      <c r="G929" s="58"/>
      <c r="H929" s="58"/>
    </row>
    <row r="930">
      <c r="G930" s="58"/>
      <c r="H930" s="58"/>
    </row>
    <row r="931">
      <c r="G931" s="58"/>
      <c r="H931" s="58"/>
    </row>
    <row r="932">
      <c r="G932" s="58"/>
      <c r="H932" s="58"/>
    </row>
    <row r="933">
      <c r="G933" s="58"/>
      <c r="H933" s="58"/>
    </row>
    <row r="934">
      <c r="G934" s="58"/>
      <c r="H934" s="58"/>
    </row>
    <row r="935">
      <c r="G935" s="58"/>
      <c r="H935" s="58"/>
    </row>
    <row r="936">
      <c r="G936" s="58"/>
      <c r="H936" s="58"/>
    </row>
    <row r="937">
      <c r="G937" s="58"/>
      <c r="H937" s="58"/>
    </row>
    <row r="938">
      <c r="G938" s="58"/>
      <c r="H938" s="58"/>
    </row>
    <row r="939">
      <c r="G939" s="58"/>
      <c r="H939" s="58"/>
    </row>
    <row r="940">
      <c r="G940" s="58"/>
      <c r="H940" s="58"/>
    </row>
    <row r="941">
      <c r="G941" s="58"/>
      <c r="H941" s="58"/>
    </row>
    <row r="942">
      <c r="G942" s="58"/>
      <c r="H942" s="58"/>
    </row>
    <row r="943">
      <c r="G943" s="58"/>
      <c r="H943" s="58"/>
    </row>
    <row r="944">
      <c r="G944" s="58"/>
      <c r="H944" s="58"/>
    </row>
    <row r="945">
      <c r="G945" s="58"/>
      <c r="H945" s="58"/>
    </row>
    <row r="946">
      <c r="G946" s="58"/>
      <c r="H946" s="58"/>
    </row>
    <row r="947">
      <c r="G947" s="58"/>
      <c r="H947" s="58"/>
    </row>
    <row r="948">
      <c r="G948" s="58"/>
      <c r="H948" s="58"/>
    </row>
    <row r="949">
      <c r="G949" s="58"/>
      <c r="H949" s="58"/>
    </row>
    <row r="950">
      <c r="G950" s="58"/>
      <c r="H950" s="58"/>
    </row>
    <row r="951">
      <c r="G951" s="58"/>
      <c r="H951" s="58"/>
    </row>
    <row r="952">
      <c r="G952" s="58"/>
      <c r="H952" s="58"/>
    </row>
    <row r="953">
      <c r="G953" s="58"/>
      <c r="H953" s="58"/>
    </row>
    <row r="954">
      <c r="G954" s="58"/>
      <c r="H954" s="58"/>
    </row>
    <row r="955">
      <c r="G955" s="58"/>
      <c r="H955" s="58"/>
    </row>
    <row r="956">
      <c r="G956" s="58"/>
      <c r="H956" s="58"/>
    </row>
    <row r="957">
      <c r="G957" s="58"/>
      <c r="H957" s="58"/>
    </row>
    <row r="958">
      <c r="G958" s="58"/>
      <c r="H958" s="58"/>
    </row>
    <row r="959">
      <c r="G959" s="58"/>
      <c r="H959" s="58"/>
    </row>
    <row r="960">
      <c r="G960" s="58"/>
      <c r="H960" s="58"/>
    </row>
    <row r="961">
      <c r="G961" s="58"/>
      <c r="H961" s="58"/>
    </row>
    <row r="962">
      <c r="G962" s="58"/>
      <c r="H962" s="58"/>
    </row>
    <row r="963">
      <c r="G963" s="58"/>
      <c r="H963" s="58"/>
    </row>
    <row r="964">
      <c r="G964" s="58"/>
      <c r="H964" s="58"/>
    </row>
    <row r="965">
      <c r="G965" s="58"/>
      <c r="H965" s="58"/>
    </row>
    <row r="966">
      <c r="G966" s="58"/>
      <c r="H966" s="58"/>
    </row>
    <row r="967">
      <c r="G967" s="58"/>
      <c r="H967" s="58"/>
    </row>
    <row r="968">
      <c r="G968" s="58"/>
      <c r="H968" s="58"/>
    </row>
    <row r="969">
      <c r="G969" s="58"/>
      <c r="H969" s="58"/>
    </row>
    <row r="970">
      <c r="G970" s="58"/>
      <c r="H970" s="58"/>
    </row>
    <row r="971">
      <c r="G971" s="58"/>
      <c r="H971" s="58"/>
    </row>
    <row r="972">
      <c r="G972" s="58"/>
      <c r="H972" s="58"/>
    </row>
    <row r="973">
      <c r="G973" s="58"/>
      <c r="H973" s="58"/>
    </row>
    <row r="974">
      <c r="G974" s="58"/>
      <c r="H974" s="58"/>
    </row>
    <row r="975">
      <c r="G975" s="58"/>
      <c r="H975" s="58"/>
    </row>
    <row r="976">
      <c r="G976" s="58"/>
      <c r="H976" s="58"/>
    </row>
    <row r="977">
      <c r="G977" s="58"/>
      <c r="H977" s="58"/>
    </row>
    <row r="978">
      <c r="G978" s="58"/>
      <c r="H978" s="58"/>
    </row>
    <row r="979">
      <c r="G979" s="58"/>
      <c r="H979" s="58"/>
    </row>
    <row r="980">
      <c r="G980" s="58"/>
      <c r="H980" s="58"/>
    </row>
    <row r="981">
      <c r="G981" s="58"/>
      <c r="H981" s="58"/>
    </row>
    <row r="982">
      <c r="G982" s="58"/>
      <c r="H982" s="58"/>
    </row>
    <row r="983">
      <c r="G983" s="58"/>
      <c r="H983" s="58"/>
    </row>
    <row r="984">
      <c r="G984" s="58"/>
      <c r="H984" s="58"/>
    </row>
    <row r="985">
      <c r="G985" s="58"/>
      <c r="H985" s="58"/>
    </row>
    <row r="986">
      <c r="G986" s="58"/>
      <c r="H986" s="58"/>
    </row>
    <row r="987">
      <c r="G987" s="58"/>
      <c r="H987" s="58"/>
    </row>
    <row r="988">
      <c r="G988" s="58"/>
      <c r="H988" s="58"/>
    </row>
    <row r="989">
      <c r="G989" s="58"/>
      <c r="H989" s="58"/>
    </row>
    <row r="990">
      <c r="G990" s="58"/>
      <c r="H990" s="58"/>
    </row>
    <row r="991">
      <c r="G991" s="58"/>
      <c r="H991" s="58"/>
    </row>
    <row r="992">
      <c r="G992" s="58"/>
      <c r="H992" s="58"/>
    </row>
    <row r="993">
      <c r="G993" s="58"/>
      <c r="H993" s="58"/>
    </row>
    <row r="994">
      <c r="G994" s="58"/>
      <c r="H994" s="58"/>
    </row>
    <row r="995">
      <c r="G995" s="58"/>
      <c r="H995" s="58"/>
    </row>
    <row r="996">
      <c r="G996" s="58"/>
      <c r="H996" s="58"/>
    </row>
    <row r="997">
      <c r="G997" s="58"/>
      <c r="H997" s="58"/>
    </row>
    <row r="998">
      <c r="G998" s="58"/>
      <c r="H998" s="58"/>
    </row>
    <row r="999">
      <c r="G999" s="58"/>
      <c r="H999" s="58"/>
    </row>
    <row r="1000">
      <c r="G1000" s="58"/>
      <c r="H1000" s="58"/>
    </row>
    <row r="1001">
      <c r="G1001" s="58"/>
      <c r="H1001" s="58"/>
    </row>
    <row r="1002">
      <c r="G1002" s="58"/>
      <c r="H1002" s="58"/>
    </row>
    <row r="1003">
      <c r="G1003" s="58"/>
      <c r="H1003" s="58"/>
    </row>
    <row r="1004">
      <c r="G1004" s="58"/>
      <c r="H1004" s="58"/>
    </row>
    <row r="1005">
      <c r="G1005" s="58"/>
      <c r="H1005" s="58"/>
    </row>
    <row r="1006">
      <c r="G1006" s="58"/>
      <c r="H1006" s="58"/>
    </row>
    <row r="1007">
      <c r="G1007" s="58"/>
      <c r="H1007" s="58"/>
    </row>
    <row r="1008">
      <c r="G1008" s="58"/>
      <c r="H1008" s="58"/>
    </row>
    <row r="1009">
      <c r="G1009" s="58"/>
      <c r="H1009" s="58"/>
    </row>
    <row r="1010">
      <c r="G1010" s="58"/>
      <c r="H1010" s="58"/>
    </row>
    <row r="1011">
      <c r="G1011" s="58"/>
      <c r="H1011" s="58"/>
    </row>
    <row r="1012">
      <c r="G1012" s="58"/>
      <c r="H1012" s="58"/>
    </row>
    <row r="1013">
      <c r="G1013" s="58"/>
      <c r="H1013" s="58"/>
    </row>
    <row r="1014">
      <c r="G1014" s="58"/>
      <c r="H1014" s="58"/>
    </row>
    <row r="1015">
      <c r="G1015" s="58"/>
      <c r="H1015" s="58"/>
    </row>
    <row r="1016">
      <c r="G1016" s="58"/>
      <c r="H1016" s="58"/>
    </row>
    <row r="1017">
      <c r="G1017" s="58"/>
      <c r="H1017" s="58"/>
    </row>
    <row r="1018">
      <c r="G1018" s="58"/>
      <c r="H1018" s="58"/>
    </row>
    <row r="1019">
      <c r="G1019" s="58"/>
      <c r="H1019" s="58"/>
    </row>
    <row r="1020">
      <c r="G1020" s="58"/>
      <c r="H1020" s="58"/>
    </row>
    <row r="1021">
      <c r="G1021" s="58"/>
      <c r="H1021" s="58"/>
    </row>
    <row r="1022">
      <c r="G1022" s="58"/>
      <c r="H1022" s="58"/>
    </row>
    <row r="1023">
      <c r="G1023" s="58"/>
      <c r="H1023" s="58"/>
    </row>
    <row r="1024">
      <c r="G1024" s="58"/>
      <c r="H1024" s="58"/>
    </row>
    <row r="1025">
      <c r="G1025" s="58"/>
      <c r="H1025" s="58"/>
    </row>
    <row r="1026">
      <c r="G1026" s="58"/>
      <c r="H1026" s="58"/>
    </row>
    <row r="1027">
      <c r="G1027" s="58"/>
      <c r="H1027" s="58"/>
    </row>
    <row r="1028">
      <c r="G1028" s="58"/>
      <c r="H1028" s="58"/>
    </row>
    <row r="1029">
      <c r="G1029" s="58"/>
      <c r="H1029" s="58"/>
    </row>
    <row r="1030">
      <c r="G1030" s="58"/>
      <c r="H1030" s="58"/>
    </row>
    <row r="1031">
      <c r="G1031" s="58"/>
      <c r="H1031" s="58"/>
    </row>
    <row r="1032">
      <c r="G1032" s="58"/>
      <c r="H1032" s="58"/>
    </row>
    <row r="1033">
      <c r="G1033" s="58"/>
      <c r="H1033" s="58"/>
    </row>
    <row r="1034">
      <c r="G1034" s="58"/>
      <c r="H1034" s="58"/>
    </row>
    <row r="1035">
      <c r="G1035" s="58"/>
      <c r="H1035" s="58"/>
    </row>
    <row r="1036">
      <c r="G1036" s="58"/>
      <c r="H1036" s="58"/>
    </row>
    <row r="1037">
      <c r="G1037" s="58"/>
      <c r="H1037" s="58"/>
    </row>
    <row r="1038">
      <c r="G1038" s="58"/>
      <c r="H1038" s="58"/>
    </row>
    <row r="1039">
      <c r="G1039" s="58"/>
      <c r="H1039" s="58"/>
    </row>
    <row r="1040">
      <c r="G1040" s="58"/>
      <c r="H1040" s="58"/>
    </row>
    <row r="1041">
      <c r="G1041" s="58"/>
      <c r="H1041" s="58"/>
    </row>
    <row r="1042">
      <c r="G1042" s="58"/>
      <c r="H1042" s="58"/>
    </row>
    <row r="1043">
      <c r="G1043" s="58"/>
      <c r="H1043" s="58"/>
    </row>
    <row r="1044">
      <c r="G1044" s="58"/>
      <c r="H1044" s="58"/>
    </row>
    <row r="1045">
      <c r="G1045" s="58"/>
      <c r="H1045" s="58"/>
    </row>
    <row r="1046">
      <c r="G1046" s="58"/>
      <c r="H1046" s="58"/>
    </row>
    <row r="1047">
      <c r="G1047" s="58"/>
      <c r="H1047" s="58"/>
    </row>
    <row r="1048">
      <c r="G1048" s="58"/>
      <c r="H1048" s="58"/>
    </row>
    <row r="1049">
      <c r="G1049" s="58"/>
      <c r="H1049" s="58"/>
    </row>
    <row r="1050">
      <c r="G1050" s="58"/>
      <c r="H1050" s="58"/>
    </row>
    <row r="1051">
      <c r="G1051" s="58"/>
      <c r="H1051" s="58"/>
    </row>
    <row r="1052">
      <c r="G1052" s="58"/>
      <c r="H1052" s="58"/>
    </row>
    <row r="1053">
      <c r="G1053" s="58"/>
      <c r="H1053" s="58"/>
    </row>
    <row r="1054">
      <c r="G1054" s="58"/>
      <c r="H1054" s="58"/>
    </row>
    <row r="1055">
      <c r="G1055" s="58"/>
      <c r="H1055" s="58"/>
    </row>
    <row r="1056">
      <c r="G1056" s="58"/>
      <c r="H1056" s="58"/>
    </row>
    <row r="1057">
      <c r="G1057" s="58"/>
      <c r="H1057" s="58"/>
    </row>
    <row r="1058">
      <c r="G1058" s="58"/>
      <c r="H1058" s="58"/>
    </row>
    <row r="1059">
      <c r="G1059" s="58"/>
      <c r="H1059" s="58"/>
    </row>
    <row r="1060">
      <c r="G1060" s="58"/>
      <c r="H1060" s="58"/>
    </row>
    <row r="1061">
      <c r="G1061" s="58"/>
      <c r="H1061" s="58"/>
    </row>
    <row r="1062">
      <c r="G1062" s="58"/>
      <c r="H1062" s="58"/>
    </row>
    <row r="1063">
      <c r="G1063" s="58"/>
      <c r="H1063" s="58"/>
    </row>
    <row r="1064">
      <c r="G1064" s="58"/>
      <c r="H1064" s="58"/>
    </row>
    <row r="1065">
      <c r="G1065" s="58"/>
      <c r="H1065" s="58"/>
    </row>
    <row r="1066">
      <c r="G1066" s="58"/>
      <c r="H1066" s="58"/>
    </row>
    <row r="1067">
      <c r="G1067" s="58"/>
      <c r="H1067" s="58"/>
    </row>
    <row r="1068">
      <c r="G1068" s="58"/>
      <c r="H1068" s="58"/>
    </row>
    <row r="1069">
      <c r="G1069" s="58"/>
      <c r="H1069" s="58"/>
    </row>
    <row r="1070">
      <c r="G1070" s="58"/>
      <c r="H1070" s="58"/>
    </row>
    <row r="1071">
      <c r="G1071" s="58"/>
      <c r="H1071" s="58"/>
    </row>
    <row r="1072">
      <c r="G1072" s="58"/>
      <c r="H1072" s="58"/>
    </row>
    <row r="1073">
      <c r="G1073" s="58"/>
      <c r="H1073" s="58"/>
    </row>
    <row r="1074">
      <c r="G1074" s="58"/>
      <c r="H1074" s="58"/>
    </row>
    <row r="1075">
      <c r="G1075" s="58"/>
      <c r="H1075" s="58"/>
    </row>
    <row r="1076">
      <c r="G1076" s="58"/>
      <c r="H1076" s="58"/>
    </row>
    <row r="1077">
      <c r="G1077" s="58"/>
      <c r="H1077" s="58"/>
    </row>
    <row r="1078">
      <c r="G1078" s="58"/>
      <c r="H1078" s="58"/>
    </row>
    <row r="1079">
      <c r="G1079" s="58"/>
      <c r="H1079" s="58"/>
    </row>
    <row r="1080">
      <c r="G1080" s="58"/>
      <c r="H1080" s="58"/>
    </row>
    <row r="1081">
      <c r="G1081" s="58"/>
      <c r="H1081" s="58"/>
    </row>
    <row r="1082">
      <c r="G1082" s="58"/>
      <c r="H1082" s="58"/>
    </row>
  </sheetData>
  <dataValidations>
    <dataValidation type="list" allowBlank="1" showErrorMessage="1" sqref="H3:H49 H54:H80 H84:H142">
      <formula1>"General,Major,Captain,Lieutenant,Sergeant,Private"</formula1>
    </dataValidation>
    <dataValidation type="list" allowBlank="1" showErrorMessage="1" sqref="J3:J49 J54:J80 J84:J142">
      <formula1>"N,Y"</formula1>
    </dataValidation>
    <dataValidation type="list" allowBlank="1" showErrorMessage="1" sqref="I3:I49 I54:I80 I84:I142">
      <formula1>"0,50,80"</formula1>
    </dataValidation>
    <dataValidation type="list" allowBlank="1" showErrorMessage="1" sqref="D3:D49 D54:D80 D84:D142">
      <formula1>"Fata Morgana,Kraftwerk,Normandie"</formula1>
    </dataValidation>
    <dataValidation type="list" allowBlank="1" showErrorMessage="1" sqref="C3:C49 C54:C80 C84:C142">
      <formula1>"Attack,Defense"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B1" s="1" t="s">
        <v>496</v>
      </c>
    </row>
    <row r="2">
      <c r="B2" s="1" t="s">
        <v>498</v>
      </c>
      <c r="C2" s="1">
        <v>1.0</v>
      </c>
    </row>
    <row r="3">
      <c r="B3" s="1" t="s">
        <v>498</v>
      </c>
      <c r="C3" s="1">
        <v>1.0</v>
      </c>
    </row>
    <row r="4">
      <c r="B4" s="1" t="s">
        <v>501</v>
      </c>
      <c r="C4" s="1">
        <v>1.0</v>
      </c>
    </row>
    <row r="5">
      <c r="B5" s="1" t="s">
        <v>501</v>
      </c>
      <c r="C5" s="1">
        <v>1.0</v>
      </c>
    </row>
    <row r="6">
      <c r="B6" s="1" t="s">
        <v>502</v>
      </c>
      <c r="C6" s="1">
        <v>1.0</v>
      </c>
    </row>
    <row r="7">
      <c r="B7" s="1" t="s">
        <v>502</v>
      </c>
      <c r="C7" s="1">
        <v>1.0</v>
      </c>
    </row>
    <row r="8">
      <c r="B8" s="1" t="s">
        <v>498</v>
      </c>
      <c r="C8" s="1">
        <v>1.0</v>
      </c>
    </row>
    <row r="9">
      <c r="B9" s="1" t="s">
        <v>498</v>
      </c>
      <c r="C9" s="1">
        <v>1.0</v>
      </c>
    </row>
    <row r="10">
      <c r="B10" s="1" t="s">
        <v>504</v>
      </c>
      <c r="C10" s="1">
        <v>2.0</v>
      </c>
    </row>
    <row r="11">
      <c r="B11" s="1" t="s">
        <v>502</v>
      </c>
      <c r="C11" s="1">
        <v>1.0</v>
      </c>
    </row>
    <row r="12">
      <c r="B12" s="1" t="s">
        <v>498</v>
      </c>
      <c r="C12" s="1">
        <v>1.0</v>
      </c>
    </row>
    <row r="13">
      <c r="B13" s="1" t="s">
        <v>502</v>
      </c>
      <c r="C13" s="1">
        <v>1.0</v>
      </c>
    </row>
    <row r="14">
      <c r="B14" s="1" t="s">
        <v>507</v>
      </c>
      <c r="C14" s="1">
        <v>3.0</v>
      </c>
    </row>
    <row r="15">
      <c r="B15" s="1" t="s">
        <v>501</v>
      </c>
      <c r="C15" s="1">
        <v>1.0</v>
      </c>
    </row>
    <row r="16">
      <c r="B16" s="1" t="s">
        <v>501</v>
      </c>
      <c r="C16" s="1">
        <v>1.0</v>
      </c>
    </row>
    <row r="17">
      <c r="B17" s="1" t="s">
        <v>498</v>
      </c>
      <c r="C17" s="1">
        <v>1.0</v>
      </c>
    </row>
    <row r="18">
      <c r="B18" s="1" t="s">
        <v>502</v>
      </c>
      <c r="C18" s="1">
        <v>1.0</v>
      </c>
    </row>
    <row r="19">
      <c r="B19" s="1" t="s">
        <v>498</v>
      </c>
      <c r="C19" s="1">
        <v>1.0</v>
      </c>
    </row>
    <row r="20">
      <c r="B20" s="1" t="s">
        <v>502</v>
      </c>
      <c r="C20" s="1">
        <v>1.0</v>
      </c>
    </row>
    <row r="21">
      <c r="B21" s="1" t="s">
        <v>509</v>
      </c>
      <c r="C21" s="1">
        <v>2.0</v>
      </c>
    </row>
    <row r="22">
      <c r="B22" s="1" t="s">
        <v>502</v>
      </c>
      <c r="C22" s="1">
        <v>1.0</v>
      </c>
    </row>
    <row r="23">
      <c r="B23" s="1" t="s">
        <v>501</v>
      </c>
      <c r="C23" s="1">
        <v>1.0</v>
      </c>
    </row>
    <row r="24">
      <c r="B24" s="1" t="s">
        <v>504</v>
      </c>
      <c r="C24" s="1">
        <v>2.0</v>
      </c>
    </row>
    <row r="25">
      <c r="B25" s="1" t="s">
        <v>498</v>
      </c>
      <c r="C25" s="1">
        <v>1.0</v>
      </c>
    </row>
    <row r="26">
      <c r="B26" s="1" t="s">
        <v>498</v>
      </c>
      <c r="C26" s="1">
        <v>1.0</v>
      </c>
    </row>
    <row r="27">
      <c r="B27" s="1" t="s">
        <v>511</v>
      </c>
      <c r="C27" s="1">
        <v>2.0</v>
      </c>
    </row>
    <row r="28">
      <c r="B28" s="1" t="s">
        <v>498</v>
      </c>
      <c r="C28" s="1">
        <v>1.0</v>
      </c>
    </row>
    <row r="29">
      <c r="B29" s="1" t="s">
        <v>501</v>
      </c>
      <c r="C29" s="1">
        <v>1.0</v>
      </c>
    </row>
    <row r="30">
      <c r="B30" s="1" t="s">
        <v>502</v>
      </c>
      <c r="C30" s="1">
        <v>1.0</v>
      </c>
    </row>
    <row r="31">
      <c r="B31" s="1" t="s">
        <v>501</v>
      </c>
      <c r="C31" s="1">
        <v>1.0</v>
      </c>
    </row>
    <row r="32">
      <c r="B32" s="1" t="s">
        <v>498</v>
      </c>
      <c r="C32" s="1">
        <v>1.0</v>
      </c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B34" s="1" t="s">
        <v>521</v>
      </c>
    </row>
    <row r="35">
      <c r="B35" s="1" t="s">
        <v>502</v>
      </c>
      <c r="C35" s="1">
        <v>1.0</v>
      </c>
      <c r="E35" s="1" t="s">
        <v>89</v>
      </c>
      <c r="F35" s="1">
        <v>2300000.0</v>
      </c>
    </row>
    <row r="36">
      <c r="B36" s="1" t="s">
        <v>523</v>
      </c>
      <c r="C36" s="1">
        <v>3.0</v>
      </c>
      <c r="E36" s="1" t="s">
        <v>524</v>
      </c>
      <c r="F36" s="1">
        <v>1450.0</v>
      </c>
    </row>
    <row r="37">
      <c r="B37" s="1" t="s">
        <v>502</v>
      </c>
      <c r="C37" s="1">
        <v>1.0</v>
      </c>
      <c r="E37" s="1" t="s">
        <v>525</v>
      </c>
      <c r="F37" s="1">
        <v>57000.0</v>
      </c>
    </row>
    <row r="38">
      <c r="B38" s="1" t="s">
        <v>526</v>
      </c>
      <c r="C38" s="1">
        <v>3.0</v>
      </c>
    </row>
    <row r="39">
      <c r="B39" s="1" t="s">
        <v>498</v>
      </c>
      <c r="C39" s="1">
        <v>1.0</v>
      </c>
    </row>
    <row r="40">
      <c r="B40" s="1" t="s">
        <v>498</v>
      </c>
      <c r="C40" s="1">
        <v>1.0</v>
      </c>
    </row>
    <row r="41">
      <c r="B41" s="1" t="s">
        <v>498</v>
      </c>
      <c r="C41" s="1">
        <v>1.0</v>
      </c>
    </row>
    <row r="42">
      <c r="B42" s="1" t="s">
        <v>502</v>
      </c>
      <c r="C42" s="1">
        <v>1.0</v>
      </c>
    </row>
    <row r="43">
      <c r="B43" s="1" t="s">
        <v>502</v>
      </c>
      <c r="C43" s="1">
        <v>1.0</v>
      </c>
    </row>
    <row r="44">
      <c r="B44" s="1" t="s">
        <v>501</v>
      </c>
      <c r="C44" s="1">
        <v>1.0</v>
      </c>
    </row>
    <row r="45">
      <c r="B45" s="1" t="s">
        <v>511</v>
      </c>
      <c r="C45" s="1">
        <v>2.0</v>
      </c>
    </row>
    <row r="46">
      <c r="B46" s="1" t="s">
        <v>523</v>
      </c>
      <c r="C46" s="1">
        <v>3.0</v>
      </c>
    </row>
    <row r="47">
      <c r="B47" s="1" t="s">
        <v>502</v>
      </c>
      <c r="C47" s="1">
        <v>1.0</v>
      </c>
    </row>
    <row r="48">
      <c r="B48" s="1" t="s">
        <v>502</v>
      </c>
      <c r="C48" s="1">
        <v>1.0</v>
      </c>
    </row>
    <row r="49">
      <c r="B49" s="1" t="s">
        <v>511</v>
      </c>
      <c r="C49" s="1">
        <v>2.0</v>
      </c>
    </row>
    <row r="50">
      <c r="B50" s="1" t="s">
        <v>511</v>
      </c>
      <c r="C50" s="1">
        <v>2.0</v>
      </c>
    </row>
    <row r="51">
      <c r="B51" s="1" t="s">
        <v>502</v>
      </c>
      <c r="C51" s="1">
        <v>1.0</v>
      </c>
    </row>
    <row r="52">
      <c r="B52" s="1" t="s">
        <v>502</v>
      </c>
      <c r="C52" s="1">
        <v>1.0</v>
      </c>
    </row>
    <row r="53">
      <c r="B53" s="1" t="s">
        <v>498</v>
      </c>
      <c r="C53" s="1">
        <v>1.0</v>
      </c>
    </row>
    <row r="54">
      <c r="B54" s="1" t="s">
        <v>511</v>
      </c>
      <c r="C54" s="1">
        <v>2.0</v>
      </c>
    </row>
    <row r="55">
      <c r="B55" s="1" t="s">
        <v>501</v>
      </c>
      <c r="C55" s="1">
        <v>1.0</v>
      </c>
    </row>
    <row r="56">
      <c r="B56" s="1" t="s">
        <v>498</v>
      </c>
      <c r="C56" s="1">
        <v>1.0</v>
      </c>
    </row>
    <row r="57">
      <c r="B57" s="1" t="s">
        <v>501</v>
      </c>
      <c r="C57" s="1">
        <v>1.0</v>
      </c>
    </row>
    <row r="58">
      <c r="B58" s="1" t="s">
        <v>502</v>
      </c>
      <c r="C58" s="1">
        <v>1.0</v>
      </c>
    </row>
    <row r="59">
      <c r="B59" s="1" t="s">
        <v>501</v>
      </c>
      <c r="C59" s="1">
        <v>1.0</v>
      </c>
    </row>
    <row r="60">
      <c r="B60" s="1" t="s">
        <v>502</v>
      </c>
      <c r="C60" s="1">
        <v>1.0</v>
      </c>
    </row>
    <row r="61">
      <c r="B61" s="1" t="s">
        <v>501</v>
      </c>
      <c r="C61" s="1">
        <v>1.0</v>
      </c>
    </row>
    <row r="62">
      <c r="B62" s="1" t="s">
        <v>501</v>
      </c>
      <c r="C62" s="1">
        <v>1.0</v>
      </c>
    </row>
    <row r="63">
      <c r="B63" s="1" t="s">
        <v>498</v>
      </c>
      <c r="C63" s="1">
        <v>1.0</v>
      </c>
    </row>
    <row r="64">
      <c r="B64" s="1" t="s">
        <v>498</v>
      </c>
      <c r="C64" s="1">
        <v>1.0</v>
      </c>
    </row>
    <row r="65">
      <c r="B65" s="1" t="s">
        <v>498</v>
      </c>
      <c r="C65" s="1">
        <v>1.0</v>
      </c>
    </row>
    <row r="66">
      <c r="B66" s="1" t="s">
        <v>498</v>
      </c>
      <c r="C66" s="1">
        <v>1.0</v>
      </c>
    </row>
    <row r="67">
      <c r="B67" s="1" t="s">
        <v>502</v>
      </c>
      <c r="C67" s="1">
        <v>1.0</v>
      </c>
    </row>
    <row r="68">
      <c r="B68" s="1" t="s">
        <v>502</v>
      </c>
      <c r="C68" s="1">
        <v>1.0</v>
      </c>
    </row>
    <row r="69">
      <c r="B69" s="1" t="s">
        <v>498</v>
      </c>
      <c r="C69" s="1">
        <v>1.0</v>
      </c>
    </row>
    <row r="70">
      <c r="B70" s="1" t="s">
        <v>502</v>
      </c>
      <c r="C70" s="1">
        <v>1.0</v>
      </c>
    </row>
    <row r="71">
      <c r="B71" s="1" t="s">
        <v>498</v>
      </c>
      <c r="C71" s="1">
        <v>1.0</v>
      </c>
    </row>
    <row r="72">
      <c r="B72" s="1" t="s">
        <v>498</v>
      </c>
      <c r="C72" s="1">
        <v>1.0</v>
      </c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B74" s="1" t="s">
        <v>536</v>
      </c>
    </row>
    <row r="75">
      <c r="B75" s="1" t="s">
        <v>502</v>
      </c>
      <c r="C75" s="1">
        <v>1.0</v>
      </c>
    </row>
    <row r="76">
      <c r="B76" s="1" t="s">
        <v>498</v>
      </c>
      <c r="C76" s="1">
        <v>1.0</v>
      </c>
    </row>
    <row r="77">
      <c r="B77" s="1" t="s">
        <v>501</v>
      </c>
      <c r="C77" s="1">
        <v>1.0</v>
      </c>
    </row>
    <row r="78">
      <c r="B78" s="1" t="s">
        <v>501</v>
      </c>
      <c r="C78" s="1">
        <v>1.0</v>
      </c>
    </row>
    <row r="79">
      <c r="B79" s="1" t="s">
        <v>504</v>
      </c>
      <c r="C79" s="1">
        <v>2.0</v>
      </c>
    </row>
    <row r="80">
      <c r="B80" s="1" t="s">
        <v>502</v>
      </c>
      <c r="C80" s="1">
        <v>1.0</v>
      </c>
    </row>
    <row r="81">
      <c r="B81" s="1" t="s">
        <v>502</v>
      </c>
      <c r="C81" s="1">
        <v>1.0</v>
      </c>
    </row>
    <row r="82">
      <c r="B82" s="1" t="s">
        <v>498</v>
      </c>
      <c r="C82" s="1">
        <v>1.0</v>
      </c>
    </row>
    <row r="83">
      <c r="B83" s="1" t="s">
        <v>498</v>
      </c>
      <c r="C83" s="1">
        <v>1.0</v>
      </c>
    </row>
    <row r="84">
      <c r="B84" s="1" t="s">
        <v>502</v>
      </c>
      <c r="C84" s="1">
        <v>1.0</v>
      </c>
    </row>
    <row r="85">
      <c r="B85" s="1" t="s">
        <v>501</v>
      </c>
      <c r="C85" s="1">
        <v>1.0</v>
      </c>
    </row>
    <row r="86">
      <c r="B86" s="1" t="s">
        <v>511</v>
      </c>
      <c r="C86" s="1">
        <v>2.0</v>
      </c>
    </row>
    <row r="87">
      <c r="B87" s="1" t="s">
        <v>501</v>
      </c>
      <c r="C87" s="1">
        <v>1.0</v>
      </c>
    </row>
    <row r="88">
      <c r="B88" s="1" t="s">
        <v>501</v>
      </c>
      <c r="C88" s="1">
        <v>1.0</v>
      </c>
    </row>
    <row r="89">
      <c r="B89" s="1" t="s">
        <v>498</v>
      </c>
      <c r="C89" s="1">
        <v>1.0</v>
      </c>
    </row>
    <row r="90">
      <c r="B90" s="1" t="s">
        <v>498</v>
      </c>
      <c r="C90" s="1">
        <v>1.0</v>
      </c>
    </row>
    <row r="91">
      <c r="B91" s="1" t="s">
        <v>501</v>
      </c>
      <c r="C91" s="1">
        <v>1.0</v>
      </c>
    </row>
    <row r="92">
      <c r="B92" s="1" t="s">
        <v>498</v>
      </c>
      <c r="C92" s="1">
        <v>1.0</v>
      </c>
    </row>
    <row r="93">
      <c r="B93" s="1" t="s">
        <v>498</v>
      </c>
      <c r="C93" s="1">
        <v>1.0</v>
      </c>
    </row>
    <row r="94">
      <c r="B94" s="1" t="s">
        <v>501</v>
      </c>
      <c r="C94" s="1">
        <v>1.0</v>
      </c>
    </row>
    <row r="95">
      <c r="B95" s="1" t="s">
        <v>504</v>
      </c>
      <c r="C95" s="1">
        <v>2.0</v>
      </c>
    </row>
    <row r="96">
      <c r="B96" s="1" t="s">
        <v>501</v>
      </c>
      <c r="C96" s="1">
        <v>1.0</v>
      </c>
    </row>
    <row r="97">
      <c r="B97" s="1" t="s">
        <v>498</v>
      </c>
      <c r="C97" s="1">
        <v>1.0</v>
      </c>
    </row>
    <row r="98">
      <c r="B98" s="1" t="s">
        <v>511</v>
      </c>
      <c r="C98" s="1">
        <v>2.0</v>
      </c>
    </row>
    <row r="99">
      <c r="B99" s="1" t="s">
        <v>504</v>
      </c>
      <c r="C99" s="1">
        <v>2.0</v>
      </c>
    </row>
    <row r="100">
      <c r="B100" s="1" t="s">
        <v>498</v>
      </c>
      <c r="C100" s="1">
        <v>1.0</v>
      </c>
    </row>
    <row r="101">
      <c r="B101" s="1" t="s">
        <v>502</v>
      </c>
      <c r="C101" s="1">
        <v>1.0</v>
      </c>
    </row>
    <row r="102">
      <c r="B102" s="1" t="s">
        <v>501</v>
      </c>
      <c r="C102" s="1">
        <v>1.0</v>
      </c>
    </row>
    <row r="103">
      <c r="B103" s="1" t="s">
        <v>498</v>
      </c>
      <c r="C103" s="1">
        <v>1.0</v>
      </c>
    </row>
    <row r="104">
      <c r="B104" s="1" t="s">
        <v>511</v>
      </c>
      <c r="C104" s="1">
        <v>2.0</v>
      </c>
    </row>
    <row r="105">
      <c r="B105" s="1" t="s">
        <v>502</v>
      </c>
      <c r="C105" s="1">
        <v>1.0</v>
      </c>
    </row>
    <row r="106">
      <c r="B106" s="1" t="s">
        <v>501</v>
      </c>
      <c r="C106" s="1">
        <v>1.0</v>
      </c>
    </row>
    <row r="107">
      <c r="B107" s="1" t="s">
        <v>502</v>
      </c>
      <c r="C107" s="1">
        <v>1.0</v>
      </c>
    </row>
    <row r="108">
      <c r="B108" s="1" t="s">
        <v>504</v>
      </c>
      <c r="C108" s="1">
        <v>2.0</v>
      </c>
    </row>
    <row r="109">
      <c r="B109" s="1" t="s">
        <v>502</v>
      </c>
      <c r="C109" s="1">
        <v>1.0</v>
      </c>
    </row>
    <row r="110">
      <c r="B110" s="1" t="s">
        <v>501</v>
      </c>
      <c r="C110" s="1">
        <v>1.0</v>
      </c>
    </row>
    <row r="111">
      <c r="B111" s="1" t="s">
        <v>501</v>
      </c>
      <c r="C111" s="1">
        <v>1.0</v>
      </c>
    </row>
    <row r="112">
      <c r="B112" s="1" t="s">
        <v>501</v>
      </c>
      <c r="C112" s="1">
        <v>1.0</v>
      </c>
    </row>
    <row r="113">
      <c r="B113" s="1" t="s">
        <v>502</v>
      </c>
      <c r="C113" s="1">
        <v>1.0</v>
      </c>
    </row>
    <row r="114">
      <c r="B114" s="1" t="s">
        <v>498</v>
      </c>
      <c r="C114" s="1">
        <v>1.0</v>
      </c>
    </row>
    <row r="115">
      <c r="B115" s="1" t="s">
        <v>498</v>
      </c>
      <c r="C115" s="1">
        <v>1.0</v>
      </c>
    </row>
    <row r="116">
      <c r="B116" s="1" t="s">
        <v>502</v>
      </c>
      <c r="C116" s="1">
        <v>1.0</v>
      </c>
    </row>
    <row r="117">
      <c r="B117" s="1" t="s">
        <v>502</v>
      </c>
      <c r="C117" s="1">
        <v>1.0</v>
      </c>
    </row>
    <row r="118">
      <c r="B118" s="1" t="s">
        <v>498</v>
      </c>
      <c r="C118" s="1">
        <v>1.0</v>
      </c>
    </row>
    <row r="119">
      <c r="B119" s="1" t="s">
        <v>502</v>
      </c>
      <c r="C119" s="1">
        <v>1.0</v>
      </c>
    </row>
    <row r="120">
      <c r="B120" s="1" t="s">
        <v>498</v>
      </c>
      <c r="C120" s="1">
        <v>1.0</v>
      </c>
    </row>
    <row r="121">
      <c r="B121" s="1" t="s">
        <v>498</v>
      </c>
      <c r="C121" s="1">
        <v>1.0</v>
      </c>
    </row>
    <row r="122">
      <c r="B122" s="1" t="s">
        <v>502</v>
      </c>
      <c r="C122" s="1">
        <v>1.0</v>
      </c>
    </row>
    <row r="123">
      <c r="B123" s="1" t="s">
        <v>498</v>
      </c>
      <c r="C123" s="1">
        <v>1.0</v>
      </c>
    </row>
    <row r="124">
      <c r="B124" s="1" t="s">
        <v>502</v>
      </c>
      <c r="C124" s="1">
        <v>1.0</v>
      </c>
    </row>
    <row r="125">
      <c r="B125" s="1" t="s">
        <v>502</v>
      </c>
      <c r="C125" s="1">
        <v>1.0</v>
      </c>
    </row>
    <row r="126">
      <c r="B126" s="1" t="s">
        <v>501</v>
      </c>
      <c r="C126" s="1">
        <v>1.0</v>
      </c>
    </row>
    <row r="127">
      <c r="B127" s="1" t="s">
        <v>498</v>
      </c>
      <c r="C127" s="1">
        <v>1.0</v>
      </c>
    </row>
    <row r="128">
      <c r="B128" s="1" t="s">
        <v>502</v>
      </c>
      <c r="C128" s="1">
        <v>1.0</v>
      </c>
    </row>
    <row r="129">
      <c r="B129" s="1" t="s">
        <v>511</v>
      </c>
      <c r="C129" s="1">
        <v>2.0</v>
      </c>
    </row>
    <row r="130">
      <c r="B130" s="1" t="s">
        <v>501</v>
      </c>
      <c r="C130" s="1">
        <v>1.0</v>
      </c>
    </row>
    <row r="131">
      <c r="B131" s="1" t="s">
        <v>501</v>
      </c>
      <c r="C131" s="1">
        <v>1.0</v>
      </c>
    </row>
    <row r="132">
      <c r="B132" s="1" t="s">
        <v>509</v>
      </c>
      <c r="C132" s="1">
        <v>2.0</v>
      </c>
    </row>
    <row r="133">
      <c r="B133" s="1" t="s">
        <v>498</v>
      </c>
      <c r="C133" s="1">
        <v>1.0</v>
      </c>
    </row>
    <row r="134">
      <c r="B134" s="1" t="s">
        <v>502</v>
      </c>
      <c r="C134" s="1">
        <v>1.0</v>
      </c>
    </row>
    <row r="135">
      <c r="B135" s="1" t="s">
        <v>501</v>
      </c>
      <c r="C135" s="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0"/>
  </cols>
  <sheetData>
    <row r="2">
      <c r="B2" s="1" t="s">
        <v>71</v>
      </c>
      <c r="C2" s="1" t="s">
        <v>594</v>
      </c>
      <c r="D2" s="1" t="s">
        <v>595</v>
      </c>
      <c r="E2" s="1" t="s">
        <v>596</v>
      </c>
      <c r="J2" s="1" t="s">
        <v>597</v>
      </c>
    </row>
    <row r="3">
      <c r="B3" s="1" t="s">
        <v>194</v>
      </c>
      <c r="C3" s="77">
        <v>0.1527777777777778</v>
      </c>
      <c r="D3" s="1" t="s">
        <v>598</v>
      </c>
      <c r="E3" s="1" t="s">
        <v>19</v>
      </c>
      <c r="J3" s="1" t="s">
        <v>599</v>
      </c>
    </row>
    <row r="4">
      <c r="B4" s="1" t="s">
        <v>600</v>
      </c>
      <c r="C4" s="77">
        <v>0.1527777777777778</v>
      </c>
      <c r="D4" s="1" t="s">
        <v>601</v>
      </c>
      <c r="E4" s="1" t="s">
        <v>19</v>
      </c>
      <c r="J4" s="1" t="s">
        <v>602</v>
      </c>
    </row>
    <row r="5">
      <c r="B5" s="1" t="s">
        <v>603</v>
      </c>
      <c r="C5" s="77">
        <v>0.13472222222222222</v>
      </c>
      <c r="D5" s="1" t="s">
        <v>604</v>
      </c>
      <c r="E5" s="1" t="s">
        <v>18</v>
      </c>
      <c r="J5" s="1" t="s">
        <v>605</v>
      </c>
    </row>
    <row r="6">
      <c r="B6" s="1" t="s">
        <v>194</v>
      </c>
      <c r="C6" s="77">
        <v>0.125</v>
      </c>
      <c r="D6" s="1" t="s">
        <v>606</v>
      </c>
      <c r="E6" s="1" t="s">
        <v>19</v>
      </c>
      <c r="J6" s="1" t="s">
        <v>607</v>
      </c>
    </row>
    <row r="7">
      <c r="B7" s="1" t="s">
        <v>600</v>
      </c>
      <c r="C7" s="77">
        <v>0.12777777777777777</v>
      </c>
      <c r="D7" s="1" t="s">
        <v>608</v>
      </c>
      <c r="E7" s="1" t="s">
        <v>19</v>
      </c>
      <c r="J7" s="1" t="s">
        <v>602</v>
      </c>
    </row>
    <row r="8">
      <c r="B8" s="1" t="s">
        <v>603</v>
      </c>
      <c r="C8" s="77">
        <v>0.1111111111111111</v>
      </c>
      <c r="D8" s="1" t="s">
        <v>609</v>
      </c>
      <c r="E8" s="1" t="s">
        <v>19</v>
      </c>
      <c r="J8" s="1" t="s">
        <v>611</v>
      </c>
    </row>
    <row r="9">
      <c r="B9" s="1" t="s">
        <v>194</v>
      </c>
      <c r="C9" s="77">
        <v>0.09583333333333334</v>
      </c>
      <c r="D9" s="1" t="s">
        <v>612</v>
      </c>
      <c r="E9" s="1" t="s">
        <v>19</v>
      </c>
      <c r="J9" s="1" t="s">
        <v>605</v>
      </c>
    </row>
    <row r="10">
      <c r="B10" s="1" t="s">
        <v>600</v>
      </c>
      <c r="C10" s="77">
        <v>0.20833333333333334</v>
      </c>
      <c r="D10" s="1" t="s">
        <v>608</v>
      </c>
      <c r="E10" s="1" t="s">
        <v>19</v>
      </c>
    </row>
    <row r="11">
      <c r="B11" s="1" t="s">
        <v>603</v>
      </c>
      <c r="C11" s="77">
        <v>0.14583333333333334</v>
      </c>
      <c r="D11" s="1" t="s">
        <v>613</v>
      </c>
      <c r="E11" s="1" t="s">
        <v>19</v>
      </c>
    </row>
    <row r="12">
      <c r="B12" s="1" t="s">
        <v>194</v>
      </c>
      <c r="C12" s="77">
        <v>0.10555555555555556</v>
      </c>
      <c r="D12" s="1" t="s">
        <v>614</v>
      </c>
      <c r="E12" s="1" t="s">
        <v>19</v>
      </c>
    </row>
    <row r="13">
      <c r="B13" s="1" t="s">
        <v>600</v>
      </c>
      <c r="C13" s="77">
        <v>0.11666666666666667</v>
      </c>
      <c r="D13" s="1" t="s">
        <v>608</v>
      </c>
      <c r="E13" s="1" t="s">
        <v>19</v>
      </c>
    </row>
    <row r="14">
      <c r="B14" s="1" t="s">
        <v>603</v>
      </c>
      <c r="C14" s="77">
        <v>0.1527777777777778</v>
      </c>
      <c r="D14" s="1" t="s">
        <v>609</v>
      </c>
      <c r="E14" s="1" t="s">
        <v>19</v>
      </c>
    </row>
    <row r="15">
      <c r="B15" s="1" t="s">
        <v>194</v>
      </c>
      <c r="C15" s="77">
        <v>0.125</v>
      </c>
      <c r="D15" s="1" t="s">
        <v>608</v>
      </c>
      <c r="E15" s="1" t="s">
        <v>19</v>
      </c>
    </row>
    <row r="16">
      <c r="B16" s="1" t="s">
        <v>600</v>
      </c>
      <c r="C16" s="77">
        <v>0.17222222222222222</v>
      </c>
      <c r="D16" s="1" t="s">
        <v>617</v>
      </c>
      <c r="E16" s="1" t="s">
        <v>19</v>
      </c>
    </row>
    <row r="17">
      <c r="B17" s="1" t="s">
        <v>603</v>
      </c>
      <c r="C17" s="77">
        <v>0.11458333333333333</v>
      </c>
      <c r="D17" s="1" t="s">
        <v>619</v>
      </c>
      <c r="E17" s="1" t="s">
        <v>19</v>
      </c>
    </row>
    <row r="18">
      <c r="B18" s="1" t="s">
        <v>194</v>
      </c>
      <c r="C18" s="77">
        <v>0.1284722222222222</v>
      </c>
      <c r="D18" s="1" t="s">
        <v>604</v>
      </c>
      <c r="E18" s="1" t="s">
        <v>18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38"/>
    <col customWidth="1" min="4" max="4" width="8.38"/>
    <col customWidth="1" min="5" max="5" width="5.38"/>
    <col customWidth="1" min="6" max="6" width="7.5"/>
    <col customWidth="1" min="7" max="7" width="8.38"/>
    <col customWidth="1" min="8" max="8" width="2.88"/>
    <col customWidth="1" min="9" max="9" width="6.75"/>
    <col customWidth="1" min="12" max="12" width="16.13"/>
    <col customWidth="1" min="13" max="13" width="8.38"/>
    <col customWidth="1" min="15" max="15" width="9.38"/>
    <col customWidth="1" min="18" max="18" width="20.0"/>
    <col customWidth="1" min="19" max="19" width="5.13"/>
    <col customWidth="1" min="20" max="20" width="5.0"/>
    <col customWidth="1" min="21" max="21" width="4.88"/>
    <col customWidth="1" min="22" max="22" width="7.63"/>
    <col customWidth="1" min="23" max="23" width="14.88"/>
  </cols>
  <sheetData>
    <row r="2">
      <c r="B2" s="73"/>
      <c r="C2" s="39" t="s">
        <v>629</v>
      </c>
      <c r="D2" s="39" t="s">
        <v>71</v>
      </c>
      <c r="E2" s="39" t="s">
        <v>595</v>
      </c>
      <c r="F2" s="39" t="s">
        <v>630</v>
      </c>
      <c r="G2" s="39" t="s">
        <v>631</v>
      </c>
      <c r="H2" s="39" t="s">
        <v>632</v>
      </c>
      <c r="I2" s="39" t="s">
        <v>89</v>
      </c>
      <c r="K2" s="39" t="s">
        <v>629</v>
      </c>
      <c r="L2" s="39" t="s">
        <v>633</v>
      </c>
      <c r="M2" s="39" t="s">
        <v>631</v>
      </c>
      <c r="O2" s="39" t="s">
        <v>629</v>
      </c>
      <c r="P2" s="39" t="s">
        <v>631</v>
      </c>
      <c r="R2" s="39" t="s">
        <v>634</v>
      </c>
      <c r="S2" s="39" t="s">
        <v>635</v>
      </c>
      <c r="T2" s="39" t="s">
        <v>636</v>
      </c>
      <c r="U2" s="39" t="s">
        <v>211</v>
      </c>
      <c r="V2" s="39"/>
    </row>
    <row r="3">
      <c r="B3" s="73">
        <v>46082.0</v>
      </c>
      <c r="C3" s="78">
        <v>46093.0</v>
      </c>
      <c r="D3" s="1" t="s">
        <v>637</v>
      </c>
      <c r="E3" s="1">
        <v>1.0</v>
      </c>
      <c r="F3" s="1">
        <v>15181.0</v>
      </c>
      <c r="G3" s="1">
        <v>472.0</v>
      </c>
      <c r="H3" s="1" t="s">
        <v>18</v>
      </c>
      <c r="I3" s="1">
        <v>107938.0</v>
      </c>
      <c r="K3" s="78">
        <v>46093.0</v>
      </c>
      <c r="L3" s="1" t="s">
        <v>638</v>
      </c>
      <c r="M3" s="1">
        <v>100.0</v>
      </c>
      <c r="O3" s="78">
        <v>46093.0</v>
      </c>
      <c r="P3" s="10">
        <f>sum(G3:G10)+sum(M3:M7)</f>
        <v>3732</v>
      </c>
      <c r="R3" s="1" t="s">
        <v>639</v>
      </c>
      <c r="S3" s="1">
        <v>900.0</v>
      </c>
      <c r="T3" s="1">
        <v>2.0</v>
      </c>
      <c r="U3" s="10">
        <f t="shared" ref="U3:U10" si="1">S3*T3</f>
        <v>1800</v>
      </c>
      <c r="W3" s="39" t="s">
        <v>640</v>
      </c>
    </row>
    <row r="4">
      <c r="D4" s="1" t="s">
        <v>641</v>
      </c>
      <c r="E4" s="1">
        <v>1.0</v>
      </c>
      <c r="F4" s="1">
        <v>10226.0</v>
      </c>
      <c r="G4" s="1">
        <v>434.0</v>
      </c>
      <c r="H4" s="1" t="s">
        <v>18</v>
      </c>
      <c r="I4" s="1">
        <v>67665.0</v>
      </c>
      <c r="L4" s="1" t="s">
        <v>642</v>
      </c>
      <c r="M4" s="1">
        <v>100.0</v>
      </c>
      <c r="O4" s="78">
        <v>46094.0</v>
      </c>
      <c r="P4" s="10">
        <f>sum(G11:G32)+sum(M8:M13)</f>
        <v>4104</v>
      </c>
      <c r="R4" s="1" t="s">
        <v>643</v>
      </c>
      <c r="S4" s="1">
        <v>1600.0</v>
      </c>
      <c r="T4" s="1">
        <v>1.0</v>
      </c>
      <c r="U4" s="10">
        <f t="shared" si="1"/>
        <v>1600</v>
      </c>
      <c r="W4" s="10">
        <f>sum(U3:U10)</f>
        <v>10100</v>
      </c>
    </row>
    <row r="5">
      <c r="D5" s="1" t="s">
        <v>645</v>
      </c>
      <c r="E5" s="1">
        <v>6.0</v>
      </c>
      <c r="F5" s="1">
        <v>4878.0</v>
      </c>
      <c r="G5" s="1">
        <v>130.0</v>
      </c>
      <c r="H5" s="1" t="s">
        <v>18</v>
      </c>
      <c r="I5" s="1">
        <v>51015.0</v>
      </c>
      <c r="L5" s="1" t="s">
        <v>647</v>
      </c>
      <c r="M5" s="1">
        <v>100.0</v>
      </c>
      <c r="O5" s="78">
        <v>46095.0</v>
      </c>
      <c r="P5" s="10">
        <f>SUM(G33:G43)+M14</f>
        <v>2405</v>
      </c>
      <c r="R5" s="1" t="s">
        <v>649</v>
      </c>
      <c r="S5" s="1">
        <v>300.0</v>
      </c>
      <c r="T5" s="1">
        <v>3.0</v>
      </c>
      <c r="U5" s="10">
        <f t="shared" si="1"/>
        <v>900</v>
      </c>
    </row>
    <row r="6">
      <c r="D6" s="1" t="s">
        <v>650</v>
      </c>
      <c r="E6" s="1">
        <v>6.0</v>
      </c>
      <c r="F6" s="1">
        <v>6739.0</v>
      </c>
      <c r="G6" s="1">
        <v>380.0</v>
      </c>
      <c r="H6" s="1" t="s">
        <v>18</v>
      </c>
      <c r="I6" s="1">
        <v>40950.0</v>
      </c>
      <c r="L6" s="1" t="s">
        <v>651</v>
      </c>
      <c r="M6" s="1">
        <v>100.0</v>
      </c>
      <c r="O6" s="78">
        <v>46096.0</v>
      </c>
      <c r="P6" s="10">
        <f>sum(G44:G54)+M15</f>
        <v>2809</v>
      </c>
      <c r="R6" s="1" t="s">
        <v>652</v>
      </c>
      <c r="S6" s="1">
        <v>600.0</v>
      </c>
      <c r="T6" s="1">
        <v>3.0</v>
      </c>
      <c r="U6" s="10">
        <f t="shared" si="1"/>
        <v>1800</v>
      </c>
    </row>
    <row r="7">
      <c r="D7" s="1" t="s">
        <v>653</v>
      </c>
      <c r="E7" s="1">
        <v>5.0</v>
      </c>
      <c r="F7" s="1">
        <v>6246.0</v>
      </c>
      <c r="G7" s="1">
        <v>302.0</v>
      </c>
      <c r="H7" s="1" t="s">
        <v>18</v>
      </c>
      <c r="I7" s="1">
        <v>45274.0</v>
      </c>
      <c r="L7" s="1" t="s">
        <v>654</v>
      </c>
      <c r="M7" s="1">
        <v>180.0</v>
      </c>
      <c r="O7" s="78">
        <v>46097.0</v>
      </c>
      <c r="P7" s="10">
        <f>sum(G55:G64)+M16</f>
        <v>2739</v>
      </c>
      <c r="R7" s="1" t="s">
        <v>655</v>
      </c>
      <c r="S7" s="1">
        <v>450.0</v>
      </c>
      <c r="T7" s="1">
        <v>4.0</v>
      </c>
      <c r="U7" s="10">
        <f t="shared" si="1"/>
        <v>1800</v>
      </c>
    </row>
    <row r="8">
      <c r="D8" s="1" t="s">
        <v>656</v>
      </c>
      <c r="E8" s="1">
        <v>1.0</v>
      </c>
      <c r="F8" s="1">
        <v>12749.0</v>
      </c>
      <c r="G8" s="1">
        <v>658.0</v>
      </c>
      <c r="H8" s="1" t="s">
        <v>18</v>
      </c>
      <c r="I8" s="1">
        <v>70293.0</v>
      </c>
      <c r="L8" s="1" t="s">
        <v>657</v>
      </c>
      <c r="M8" s="1">
        <v>100.0</v>
      </c>
      <c r="O8" s="78">
        <v>46098.0</v>
      </c>
      <c r="P8" s="10">
        <f>sum(G65:G74)+M17</f>
        <v>3071</v>
      </c>
      <c r="R8" s="1" t="s">
        <v>658</v>
      </c>
      <c r="S8" s="1">
        <v>200.0</v>
      </c>
      <c r="T8" s="1">
        <v>3.0</v>
      </c>
      <c r="U8" s="10">
        <f t="shared" si="1"/>
        <v>600</v>
      </c>
    </row>
    <row r="9">
      <c r="D9" s="1" t="s">
        <v>659</v>
      </c>
      <c r="E9" s="1">
        <v>3.0</v>
      </c>
      <c r="F9" s="1">
        <v>10515.0</v>
      </c>
      <c r="G9" s="1">
        <v>306.0</v>
      </c>
      <c r="H9" s="1" t="s">
        <v>18</v>
      </c>
      <c r="I9" s="1">
        <v>52639.0</v>
      </c>
      <c r="L9" s="1" t="s">
        <v>660</v>
      </c>
      <c r="M9" s="1">
        <v>100.0</v>
      </c>
      <c r="O9" s="78">
        <v>46099.0</v>
      </c>
      <c r="P9" s="10">
        <f>sum(G75:G82)+M18</f>
        <v>3116</v>
      </c>
      <c r="R9" s="1" t="s">
        <v>661</v>
      </c>
      <c r="S9" s="1">
        <v>200.0</v>
      </c>
      <c r="T9" s="1">
        <v>3.0</v>
      </c>
      <c r="U9" s="10">
        <f t="shared" si="1"/>
        <v>600</v>
      </c>
    </row>
    <row r="10">
      <c r="D10" s="1" t="s">
        <v>662</v>
      </c>
      <c r="E10" s="1">
        <v>1.0</v>
      </c>
      <c r="F10" s="1">
        <v>14702.0</v>
      </c>
      <c r="G10" s="1">
        <v>470.0</v>
      </c>
      <c r="H10" s="1" t="s">
        <v>18</v>
      </c>
      <c r="I10" s="1">
        <v>77111.0</v>
      </c>
      <c r="L10" s="1" t="s">
        <v>663</v>
      </c>
      <c r="M10" s="1">
        <v>100.0</v>
      </c>
      <c r="O10" s="78">
        <v>46100.0</v>
      </c>
      <c r="P10" s="10">
        <f>sum(G83:G93)+M19</f>
        <v>3048</v>
      </c>
      <c r="R10" s="1" t="s">
        <v>664</v>
      </c>
      <c r="S10" s="1">
        <v>200.0</v>
      </c>
      <c r="T10" s="1">
        <v>5.0</v>
      </c>
      <c r="U10" s="10">
        <f t="shared" si="1"/>
        <v>1000</v>
      </c>
    </row>
    <row r="11">
      <c r="C11" s="78">
        <v>46094.0</v>
      </c>
      <c r="D11" s="1" t="s">
        <v>637</v>
      </c>
      <c r="E11" s="1">
        <v>5.0</v>
      </c>
      <c r="F11" s="1">
        <v>7494.0</v>
      </c>
      <c r="G11" s="1">
        <v>408.0</v>
      </c>
      <c r="H11" s="1" t="s">
        <v>18</v>
      </c>
      <c r="I11" s="1">
        <v>45702.0</v>
      </c>
      <c r="L11" s="1" t="s">
        <v>665</v>
      </c>
      <c r="M11" s="1">
        <v>100.0</v>
      </c>
      <c r="O11" s="1" t="s">
        <v>211</v>
      </c>
      <c r="P11" s="10">
        <f>sum(P3:P10)</f>
        <v>25024</v>
      </c>
    </row>
    <row r="12">
      <c r="D12" s="1" t="s">
        <v>641</v>
      </c>
      <c r="E12" s="1">
        <v>3.0</v>
      </c>
      <c r="F12" s="1">
        <v>8614.0</v>
      </c>
      <c r="G12" s="1">
        <v>132.0</v>
      </c>
      <c r="H12" s="1" t="s">
        <v>18</v>
      </c>
      <c r="I12" s="1">
        <v>75909.0</v>
      </c>
      <c r="L12" s="1" t="s">
        <v>667</v>
      </c>
      <c r="M12" s="1">
        <v>100.0</v>
      </c>
    </row>
    <row r="13">
      <c r="D13" s="1" t="s">
        <v>645</v>
      </c>
      <c r="E13" s="1">
        <v>4.0</v>
      </c>
      <c r="F13" s="1">
        <v>9835.0</v>
      </c>
      <c r="G13" s="1">
        <v>180.0</v>
      </c>
      <c r="H13" s="1" t="s">
        <v>18</v>
      </c>
      <c r="I13" s="1">
        <v>65177.0</v>
      </c>
      <c r="L13" s="1" t="s">
        <v>654</v>
      </c>
      <c r="M13" s="1">
        <v>180.0</v>
      </c>
      <c r="O13" s="1" t="s">
        <v>89</v>
      </c>
      <c r="P13" s="10">
        <f>sum(I3:I93)+1200000</f>
        <v>5856373</v>
      </c>
    </row>
    <row r="14">
      <c r="D14" s="1" t="s">
        <v>650</v>
      </c>
      <c r="E14" s="1">
        <v>6.0</v>
      </c>
      <c r="F14" s="1">
        <v>4355.0</v>
      </c>
      <c r="G14" s="1">
        <v>158.0</v>
      </c>
      <c r="H14" s="1" t="s">
        <v>18</v>
      </c>
      <c r="I14" s="1">
        <v>35115.0</v>
      </c>
      <c r="L14" s="1" t="s">
        <v>654</v>
      </c>
      <c r="M14" s="1">
        <v>180.0</v>
      </c>
    </row>
    <row r="15">
      <c r="D15" s="1" t="s">
        <v>653</v>
      </c>
      <c r="E15" s="1">
        <v>2.0</v>
      </c>
      <c r="F15" s="1">
        <v>11385.0</v>
      </c>
      <c r="G15" s="1">
        <v>258.0</v>
      </c>
      <c r="H15" s="1" t="s">
        <v>18</v>
      </c>
      <c r="I15" s="1">
        <v>59315.0</v>
      </c>
      <c r="L15" s="1" t="s">
        <v>654</v>
      </c>
      <c r="M15" s="1">
        <v>180.0</v>
      </c>
    </row>
    <row r="16">
      <c r="D16" s="1" t="s">
        <v>656</v>
      </c>
      <c r="E16" s="1">
        <v>4.0</v>
      </c>
      <c r="F16" s="1">
        <v>9571.0</v>
      </c>
      <c r="G16" s="1">
        <v>358.0</v>
      </c>
      <c r="H16" s="1" t="s">
        <v>18</v>
      </c>
      <c r="I16" s="1">
        <v>51011.0</v>
      </c>
      <c r="L16" s="1" t="s">
        <v>654</v>
      </c>
      <c r="M16" s="1">
        <v>180.0</v>
      </c>
      <c r="Q16" s="1" t="s">
        <v>669</v>
      </c>
    </row>
    <row r="17">
      <c r="D17" s="1" t="s">
        <v>659</v>
      </c>
      <c r="E17" s="1">
        <v>4.0</v>
      </c>
      <c r="F17" s="1">
        <v>6868.0</v>
      </c>
      <c r="G17" s="1">
        <v>172.0</v>
      </c>
      <c r="H17" s="1" t="s">
        <v>18</v>
      </c>
      <c r="I17" s="1">
        <v>41172.0</v>
      </c>
      <c r="L17" s="1" t="s">
        <v>654</v>
      </c>
      <c r="M17" s="1">
        <v>180.0</v>
      </c>
    </row>
    <row r="18">
      <c r="D18" s="1" t="s">
        <v>662</v>
      </c>
      <c r="E18" s="1">
        <v>1.0</v>
      </c>
      <c r="F18" s="1">
        <v>11358.0</v>
      </c>
      <c r="G18" s="1">
        <v>352.0</v>
      </c>
      <c r="H18" s="1" t="s">
        <v>18</v>
      </c>
      <c r="I18" s="1">
        <v>67893.0</v>
      </c>
      <c r="L18" s="1" t="s">
        <v>654</v>
      </c>
      <c r="M18" s="1">
        <v>180.0</v>
      </c>
    </row>
    <row r="19">
      <c r="D19" s="1" t="s">
        <v>637</v>
      </c>
      <c r="E19" s="1">
        <v>1.0</v>
      </c>
      <c r="F19" s="1">
        <v>9859.0</v>
      </c>
      <c r="G19" s="1">
        <v>308.0</v>
      </c>
      <c r="H19" s="1" t="s">
        <v>19</v>
      </c>
      <c r="I19" s="1">
        <v>65307.0</v>
      </c>
      <c r="L19" s="1" t="s">
        <v>654</v>
      </c>
      <c r="M19" s="1">
        <v>180.0</v>
      </c>
    </row>
    <row r="20">
      <c r="D20" s="1" t="s">
        <v>637</v>
      </c>
      <c r="E20" s="1">
        <v>15.0</v>
      </c>
      <c r="F20" s="1">
        <v>1805.0</v>
      </c>
      <c r="G20" s="1">
        <v>40.0</v>
      </c>
      <c r="H20" s="1" t="s">
        <v>19</v>
      </c>
      <c r="I20" s="1">
        <v>13464.0</v>
      </c>
    </row>
    <row r="21">
      <c r="D21" s="1" t="s">
        <v>653</v>
      </c>
      <c r="E21" s="1">
        <v>8.0</v>
      </c>
      <c r="F21" s="1">
        <v>6078.0</v>
      </c>
      <c r="G21" s="1">
        <v>77.0</v>
      </c>
      <c r="H21" s="1" t="s">
        <v>19</v>
      </c>
      <c r="I21" s="1">
        <v>41535.0</v>
      </c>
    </row>
    <row r="22">
      <c r="D22" s="1" t="s">
        <v>637</v>
      </c>
      <c r="E22" s="1">
        <v>4.0</v>
      </c>
      <c r="F22" s="1">
        <v>7851.0</v>
      </c>
      <c r="G22" s="1">
        <v>79.0</v>
      </c>
      <c r="H22" s="1" t="s">
        <v>19</v>
      </c>
      <c r="I22" s="1">
        <v>48044.0</v>
      </c>
    </row>
    <row r="23">
      <c r="D23" s="1" t="s">
        <v>637</v>
      </c>
      <c r="E23" s="1">
        <v>10.0</v>
      </c>
      <c r="G23" s="1">
        <v>76.0</v>
      </c>
      <c r="H23" s="1" t="s">
        <v>19</v>
      </c>
      <c r="I23" s="1">
        <v>36872.0</v>
      </c>
    </row>
    <row r="24">
      <c r="D24" s="1" t="s">
        <v>637</v>
      </c>
      <c r="E24" s="1">
        <v>2.0</v>
      </c>
      <c r="F24" s="1">
        <v>11976.0</v>
      </c>
      <c r="G24" s="1">
        <v>155.0</v>
      </c>
      <c r="H24" s="1" t="s">
        <v>19</v>
      </c>
      <c r="I24" s="1">
        <v>60334.0</v>
      </c>
    </row>
    <row r="25">
      <c r="D25" s="1" t="s">
        <v>650</v>
      </c>
      <c r="E25" s="1">
        <v>4.0</v>
      </c>
      <c r="F25" s="1">
        <v>11972.0</v>
      </c>
      <c r="G25" s="1">
        <v>114.0</v>
      </c>
      <c r="H25" s="1" t="s">
        <v>19</v>
      </c>
      <c r="I25" s="1">
        <v>58602.0</v>
      </c>
    </row>
    <row r="26">
      <c r="D26" s="1" t="s">
        <v>645</v>
      </c>
      <c r="E26" s="1">
        <v>5.0</v>
      </c>
      <c r="F26" s="1">
        <v>7560.0</v>
      </c>
      <c r="G26" s="1">
        <v>71.0</v>
      </c>
      <c r="H26" s="1" t="s">
        <v>19</v>
      </c>
      <c r="I26" s="1">
        <v>40641.0</v>
      </c>
    </row>
    <row r="27">
      <c r="D27" s="1" t="s">
        <v>650</v>
      </c>
      <c r="E27" s="1">
        <v>5.0</v>
      </c>
      <c r="F27" s="1">
        <v>4677.0</v>
      </c>
      <c r="G27" s="1">
        <v>63.0</v>
      </c>
      <c r="H27" s="1" t="s">
        <v>19</v>
      </c>
      <c r="I27" s="1">
        <v>35668.0</v>
      </c>
    </row>
    <row r="28">
      <c r="D28" s="1" t="s">
        <v>653</v>
      </c>
      <c r="E28" s="1">
        <v>4.0</v>
      </c>
      <c r="F28" s="1">
        <v>9164.0</v>
      </c>
      <c r="G28" s="1">
        <v>107.0</v>
      </c>
      <c r="H28" s="1" t="s">
        <v>19</v>
      </c>
      <c r="I28" s="1">
        <v>55561.0</v>
      </c>
    </row>
    <row r="29">
      <c r="D29" s="1" t="s">
        <v>662</v>
      </c>
      <c r="E29" s="1">
        <v>7.0</v>
      </c>
      <c r="F29" s="1">
        <v>3611.0</v>
      </c>
      <c r="G29" s="1">
        <v>24.0</v>
      </c>
      <c r="H29" s="1" t="s">
        <v>19</v>
      </c>
      <c r="I29" s="1">
        <v>32105.0</v>
      </c>
    </row>
    <row r="30">
      <c r="D30" s="1" t="s">
        <v>659</v>
      </c>
      <c r="E30" s="1">
        <v>6.0</v>
      </c>
      <c r="F30" s="1">
        <v>7879.0</v>
      </c>
      <c r="G30" s="1">
        <v>105.0</v>
      </c>
      <c r="H30" s="1" t="s">
        <v>19</v>
      </c>
      <c r="I30" s="1">
        <v>44642.0</v>
      </c>
    </row>
    <row r="31">
      <c r="D31" s="1" t="s">
        <v>656</v>
      </c>
      <c r="E31" s="1">
        <v>7.0</v>
      </c>
      <c r="F31" s="1">
        <v>7249.0</v>
      </c>
      <c r="G31" s="1">
        <v>67.0</v>
      </c>
      <c r="H31" s="1" t="s">
        <v>19</v>
      </c>
      <c r="I31" s="1">
        <v>45280.0</v>
      </c>
    </row>
    <row r="32">
      <c r="D32" s="1" t="s">
        <v>653</v>
      </c>
      <c r="E32" s="1">
        <v>2.0</v>
      </c>
      <c r="F32" s="1">
        <v>11095.0</v>
      </c>
      <c r="G32" s="1">
        <v>120.0</v>
      </c>
      <c r="H32" s="1" t="s">
        <v>19</v>
      </c>
      <c r="I32" s="1">
        <v>56072.0</v>
      </c>
    </row>
    <row r="33">
      <c r="C33" s="78">
        <v>46095.0</v>
      </c>
      <c r="D33" s="1" t="s">
        <v>637</v>
      </c>
      <c r="E33" s="1">
        <v>2.0</v>
      </c>
      <c r="F33" s="1">
        <v>15137.0</v>
      </c>
      <c r="G33" s="1">
        <v>236.0</v>
      </c>
      <c r="H33" s="1" t="s">
        <v>18</v>
      </c>
      <c r="I33" s="1">
        <v>64062.0</v>
      </c>
    </row>
    <row r="34">
      <c r="D34" s="1" t="s">
        <v>641</v>
      </c>
      <c r="E34" s="1">
        <v>6.0</v>
      </c>
      <c r="F34" s="1">
        <v>3757.0</v>
      </c>
      <c r="G34" s="1">
        <v>76.0</v>
      </c>
      <c r="H34" s="1" t="s">
        <v>18</v>
      </c>
      <c r="I34" s="1">
        <v>30361.0</v>
      </c>
    </row>
    <row r="35">
      <c r="D35" s="1" t="s">
        <v>645</v>
      </c>
      <c r="E35" s="1">
        <v>2.0</v>
      </c>
      <c r="F35" s="1">
        <v>10492.0</v>
      </c>
      <c r="G35" s="1">
        <v>268.0</v>
      </c>
      <c r="H35" s="1" t="s">
        <v>18</v>
      </c>
      <c r="I35" s="1">
        <v>59499.0</v>
      </c>
    </row>
    <row r="36">
      <c r="D36" s="1" t="s">
        <v>650</v>
      </c>
      <c r="E36" s="1">
        <v>4.0</v>
      </c>
      <c r="F36" s="1">
        <v>7191.0</v>
      </c>
      <c r="G36" s="1">
        <v>246.0</v>
      </c>
      <c r="H36" s="1" t="s">
        <v>18</v>
      </c>
      <c r="I36" s="1">
        <v>48630.0</v>
      </c>
    </row>
    <row r="37">
      <c r="D37" s="1" t="s">
        <v>653</v>
      </c>
      <c r="E37" s="1">
        <v>4.0</v>
      </c>
      <c r="F37" s="1">
        <v>5467.0</v>
      </c>
      <c r="G37" s="1">
        <v>144.0</v>
      </c>
      <c r="H37" s="1" t="s">
        <v>18</v>
      </c>
      <c r="I37" s="1">
        <v>38756.0</v>
      </c>
    </row>
    <row r="38">
      <c r="D38" s="1" t="s">
        <v>656</v>
      </c>
      <c r="E38" s="1">
        <v>5.0</v>
      </c>
      <c r="F38" s="1">
        <v>4641.0</v>
      </c>
      <c r="G38" s="1">
        <v>146.0</v>
      </c>
      <c r="H38" s="1" t="s">
        <v>18</v>
      </c>
      <c r="I38" s="1">
        <v>35606.0</v>
      </c>
    </row>
    <row r="39">
      <c r="D39" s="1" t="s">
        <v>659</v>
      </c>
      <c r="E39" s="1">
        <v>3.0</v>
      </c>
      <c r="F39" s="1">
        <v>6000.0</v>
      </c>
      <c r="G39" s="1">
        <v>142.0</v>
      </c>
      <c r="H39" s="1" t="s">
        <v>18</v>
      </c>
      <c r="I39" s="1">
        <v>43125.0</v>
      </c>
    </row>
    <row r="40">
      <c r="D40" s="1" t="s">
        <v>662</v>
      </c>
      <c r="E40" s="1">
        <v>1.0</v>
      </c>
      <c r="F40" s="1">
        <v>15521.0</v>
      </c>
      <c r="G40" s="1">
        <v>414.0</v>
      </c>
      <c r="H40" s="1" t="s">
        <v>18</v>
      </c>
      <c r="I40" s="1">
        <v>73349.0</v>
      </c>
    </row>
    <row r="41">
      <c r="D41" s="1" t="s">
        <v>662</v>
      </c>
      <c r="E41" s="1">
        <v>4.0</v>
      </c>
      <c r="F41" s="1">
        <v>5329.0</v>
      </c>
      <c r="G41" s="1">
        <v>88.0</v>
      </c>
      <c r="H41" s="1" t="s">
        <v>19</v>
      </c>
      <c r="I41" s="1">
        <v>38518.0</v>
      </c>
    </row>
    <row r="42">
      <c r="D42" s="1" t="s">
        <v>656</v>
      </c>
      <c r="E42" s="1">
        <v>1.0</v>
      </c>
      <c r="F42" s="1">
        <v>8957.0</v>
      </c>
      <c r="G42" s="1">
        <v>272.0</v>
      </c>
      <c r="H42" s="1" t="s">
        <v>19</v>
      </c>
      <c r="I42" s="1">
        <v>68926.0</v>
      </c>
    </row>
    <row r="43">
      <c r="D43" s="1" t="s">
        <v>656</v>
      </c>
      <c r="E43" s="1">
        <v>3.0</v>
      </c>
      <c r="F43" s="1">
        <v>9281.0</v>
      </c>
      <c r="G43" s="1">
        <v>193.0</v>
      </c>
      <c r="H43" s="1" t="s">
        <v>19</v>
      </c>
      <c r="I43" s="1">
        <v>55685.0</v>
      </c>
    </row>
    <row r="44">
      <c r="C44" s="78">
        <v>46096.0</v>
      </c>
      <c r="D44" s="1" t="s">
        <v>637</v>
      </c>
      <c r="E44" s="1">
        <v>1.0</v>
      </c>
      <c r="F44" s="1">
        <v>9337.0</v>
      </c>
      <c r="G44" s="1">
        <v>442.0</v>
      </c>
      <c r="H44" s="1" t="s">
        <v>18</v>
      </c>
      <c r="I44" s="1">
        <v>66132.0</v>
      </c>
    </row>
    <row r="45">
      <c r="D45" s="1" t="s">
        <v>641</v>
      </c>
      <c r="E45" s="1">
        <v>3.0</v>
      </c>
      <c r="F45" s="1">
        <v>6887.0</v>
      </c>
      <c r="G45" s="1">
        <v>216.0</v>
      </c>
      <c r="H45" s="1" t="s">
        <v>18</v>
      </c>
      <c r="I45" s="1">
        <v>46381.0</v>
      </c>
    </row>
    <row r="46">
      <c r="D46" s="1" t="s">
        <v>645</v>
      </c>
      <c r="E46" s="1">
        <v>13.0</v>
      </c>
      <c r="F46" s="1">
        <v>2939.0</v>
      </c>
      <c r="G46" s="1">
        <v>32.0</v>
      </c>
      <c r="H46" s="1" t="s">
        <v>19</v>
      </c>
      <c r="I46" s="1">
        <v>15420.0</v>
      </c>
    </row>
    <row r="47">
      <c r="D47" s="1" t="s">
        <v>650</v>
      </c>
      <c r="E47" s="1">
        <v>1.0</v>
      </c>
      <c r="F47" s="1">
        <v>8358.0</v>
      </c>
      <c r="G47" s="1">
        <v>444.0</v>
      </c>
      <c r="H47" s="1" t="s">
        <v>18</v>
      </c>
      <c r="I47" s="1">
        <v>59268.0</v>
      </c>
    </row>
    <row r="48">
      <c r="D48" s="1" t="s">
        <v>645</v>
      </c>
      <c r="E48" s="1">
        <v>13.0</v>
      </c>
      <c r="F48" s="1">
        <v>6002.0</v>
      </c>
      <c r="G48" s="1">
        <v>43.0</v>
      </c>
      <c r="H48" s="1" t="s">
        <v>19</v>
      </c>
      <c r="I48" s="1">
        <v>24153.0</v>
      </c>
    </row>
    <row r="49">
      <c r="D49" s="1" t="s">
        <v>653</v>
      </c>
      <c r="E49" s="1">
        <v>2.0</v>
      </c>
      <c r="F49" s="1">
        <v>11829.0</v>
      </c>
      <c r="G49" s="1">
        <v>358.0</v>
      </c>
      <c r="H49" s="1" t="s">
        <v>18</v>
      </c>
      <c r="I49" s="1">
        <v>63531.0</v>
      </c>
    </row>
    <row r="50">
      <c r="D50" s="1" t="s">
        <v>656</v>
      </c>
      <c r="E50" s="1">
        <v>14.0</v>
      </c>
      <c r="F50" s="1">
        <v>2784.0</v>
      </c>
      <c r="G50" s="1">
        <v>34.0</v>
      </c>
      <c r="H50" s="1" t="s">
        <v>19</v>
      </c>
      <c r="I50" s="1">
        <v>15152.0</v>
      </c>
    </row>
    <row r="51">
      <c r="D51" s="1" t="s">
        <v>662</v>
      </c>
      <c r="E51" s="1">
        <v>9.0</v>
      </c>
      <c r="F51" s="1">
        <v>2917.0</v>
      </c>
      <c r="G51" s="1">
        <v>74.0</v>
      </c>
      <c r="H51" s="1" t="s">
        <v>18</v>
      </c>
      <c r="I51" s="1">
        <v>29182.0</v>
      </c>
    </row>
    <row r="52">
      <c r="D52" s="1" t="s">
        <v>659</v>
      </c>
      <c r="E52" s="1">
        <v>1.0</v>
      </c>
      <c r="F52" s="1">
        <v>6107.0</v>
      </c>
      <c r="G52" s="1">
        <v>536.0</v>
      </c>
      <c r="H52" s="1" t="s">
        <v>18</v>
      </c>
      <c r="I52" s="1">
        <v>53660.0</v>
      </c>
    </row>
    <row r="53">
      <c r="D53" s="1" t="s">
        <v>656</v>
      </c>
      <c r="E53" s="1">
        <v>3.0</v>
      </c>
      <c r="F53" s="1">
        <v>12395.0</v>
      </c>
      <c r="G53" s="1">
        <v>226.0</v>
      </c>
      <c r="H53" s="1" t="s">
        <v>18</v>
      </c>
      <c r="I53" s="1">
        <v>57607.0</v>
      </c>
    </row>
    <row r="54">
      <c r="D54" s="1" t="s">
        <v>645</v>
      </c>
      <c r="E54" s="1">
        <v>7.0</v>
      </c>
      <c r="F54" s="1">
        <v>13069.0</v>
      </c>
      <c r="G54" s="1">
        <v>224.0</v>
      </c>
      <c r="H54" s="1" t="s">
        <v>18</v>
      </c>
      <c r="I54" s="1">
        <v>55320.0</v>
      </c>
    </row>
    <row r="55">
      <c r="C55" s="78">
        <v>46097.0</v>
      </c>
      <c r="D55" s="1" t="s">
        <v>637</v>
      </c>
      <c r="E55" s="1">
        <v>1.0</v>
      </c>
      <c r="F55" s="1">
        <v>9045.0</v>
      </c>
      <c r="G55" s="1">
        <v>602.0</v>
      </c>
      <c r="H55" s="1" t="s">
        <v>18</v>
      </c>
      <c r="I55" s="1">
        <v>67353.0</v>
      </c>
    </row>
    <row r="56">
      <c r="D56" s="1" t="s">
        <v>641</v>
      </c>
      <c r="E56" s="1">
        <v>2.0</v>
      </c>
      <c r="F56" s="1">
        <v>7107.0</v>
      </c>
      <c r="G56" s="1">
        <v>200.0</v>
      </c>
      <c r="H56" s="1" t="s">
        <v>18</v>
      </c>
      <c r="I56" s="1">
        <v>51935.0</v>
      </c>
    </row>
    <row r="57">
      <c r="D57" s="1" t="s">
        <v>645</v>
      </c>
      <c r="E57" s="1">
        <v>4.0</v>
      </c>
      <c r="F57" s="1">
        <v>6564.0</v>
      </c>
      <c r="G57" s="1">
        <v>188.0</v>
      </c>
      <c r="H57" s="1" t="s">
        <v>18</v>
      </c>
      <c r="I57" s="1">
        <v>45918.0</v>
      </c>
    </row>
    <row r="58">
      <c r="D58" s="1" t="s">
        <v>650</v>
      </c>
      <c r="E58" s="1">
        <v>1.0</v>
      </c>
      <c r="F58" s="1">
        <v>10338.0</v>
      </c>
      <c r="G58" s="1">
        <v>510.0</v>
      </c>
      <c r="H58" s="1" t="s">
        <v>18</v>
      </c>
      <c r="I58" s="1">
        <v>71308.0</v>
      </c>
    </row>
    <row r="59">
      <c r="D59" s="1" t="s">
        <v>653</v>
      </c>
      <c r="E59" s="1">
        <v>7.0</v>
      </c>
      <c r="F59" s="1">
        <v>6521.0</v>
      </c>
      <c r="G59" s="1">
        <v>200.0</v>
      </c>
      <c r="H59" s="1" t="s">
        <v>18</v>
      </c>
      <c r="I59" s="1">
        <v>42299.0</v>
      </c>
    </row>
    <row r="60">
      <c r="D60" s="1" t="s">
        <v>656</v>
      </c>
      <c r="E60" s="1">
        <v>4.0</v>
      </c>
      <c r="F60" s="1">
        <v>11454.0</v>
      </c>
      <c r="G60" s="1">
        <v>234.0</v>
      </c>
      <c r="H60" s="1" t="s">
        <v>18</v>
      </c>
      <c r="I60" s="1">
        <v>54258.0</v>
      </c>
    </row>
    <row r="61">
      <c r="D61" s="1" t="s">
        <v>659</v>
      </c>
      <c r="E61" s="1">
        <v>14.0</v>
      </c>
      <c r="F61" s="1">
        <v>3149.0</v>
      </c>
      <c r="G61" s="1">
        <v>16.0</v>
      </c>
      <c r="H61" s="1" t="s">
        <v>19</v>
      </c>
      <c r="I61" s="1">
        <v>14058.0</v>
      </c>
    </row>
    <row r="62">
      <c r="D62" s="1" t="s">
        <v>662</v>
      </c>
      <c r="E62" s="1">
        <v>2.0</v>
      </c>
      <c r="F62" s="1">
        <v>11962.0</v>
      </c>
      <c r="G62" s="1">
        <v>300.0</v>
      </c>
      <c r="H62" s="1" t="s">
        <v>18</v>
      </c>
      <c r="I62" s="1">
        <v>63759.0</v>
      </c>
    </row>
    <row r="63">
      <c r="D63" s="1" t="s">
        <v>662</v>
      </c>
      <c r="E63" s="1">
        <v>8.0</v>
      </c>
      <c r="F63" s="1">
        <v>3879.0</v>
      </c>
      <c r="G63" s="1">
        <v>49.0</v>
      </c>
      <c r="H63" s="1" t="s">
        <v>19</v>
      </c>
      <c r="I63" s="1">
        <v>32567.0</v>
      </c>
    </row>
    <row r="64">
      <c r="D64" s="1" t="s">
        <v>659</v>
      </c>
      <c r="E64" s="1">
        <v>7.0</v>
      </c>
      <c r="F64" s="1">
        <v>7783.0</v>
      </c>
      <c r="G64" s="1">
        <v>260.0</v>
      </c>
      <c r="H64" s="1" t="s">
        <v>18</v>
      </c>
      <c r="I64" s="1">
        <v>46201.0</v>
      </c>
    </row>
    <row r="65">
      <c r="C65" s="78">
        <v>46098.0</v>
      </c>
      <c r="D65" s="1" t="s">
        <v>637</v>
      </c>
      <c r="E65" s="1">
        <v>1.0</v>
      </c>
      <c r="F65" s="1">
        <v>17461.0</v>
      </c>
      <c r="G65" s="1">
        <v>580.0</v>
      </c>
      <c r="H65" s="1" t="s">
        <v>18</v>
      </c>
      <c r="I65" s="1">
        <v>85321.0</v>
      </c>
    </row>
    <row r="66">
      <c r="D66" s="1" t="s">
        <v>641</v>
      </c>
      <c r="E66" s="1">
        <v>7.0</v>
      </c>
      <c r="F66" s="1">
        <v>6307.0</v>
      </c>
      <c r="G66" s="1">
        <v>102.0</v>
      </c>
      <c r="H66" s="1" t="s">
        <v>18</v>
      </c>
      <c r="I66" s="1">
        <v>40205.0</v>
      </c>
    </row>
    <row r="67">
      <c r="D67" s="1" t="s">
        <v>645</v>
      </c>
      <c r="E67" s="1">
        <v>3.0</v>
      </c>
      <c r="F67" s="1">
        <v>10564.0</v>
      </c>
      <c r="G67" s="1">
        <v>410.0</v>
      </c>
      <c r="H67" s="1" t="s">
        <v>18</v>
      </c>
      <c r="I67" s="1">
        <v>56173.0</v>
      </c>
    </row>
    <row r="68">
      <c r="D68" s="1" t="s">
        <v>650</v>
      </c>
      <c r="E68" s="1">
        <v>7.0</v>
      </c>
      <c r="F68" s="1">
        <v>2990.0</v>
      </c>
      <c r="G68" s="1">
        <v>124.0</v>
      </c>
      <c r="H68" s="1" t="s">
        <v>18</v>
      </c>
      <c r="I68" s="1">
        <v>31033.0</v>
      </c>
    </row>
    <row r="69">
      <c r="D69" s="1" t="s">
        <v>653</v>
      </c>
      <c r="E69" s="1">
        <v>1.0</v>
      </c>
      <c r="F69" s="1">
        <v>15574.0</v>
      </c>
      <c r="G69" s="1">
        <v>484.0</v>
      </c>
      <c r="H69" s="1" t="s">
        <v>18</v>
      </c>
      <c r="I69" s="1">
        <v>75165.0</v>
      </c>
    </row>
    <row r="70">
      <c r="D70" s="1" t="s">
        <v>656</v>
      </c>
      <c r="E70" s="1">
        <v>9.0</v>
      </c>
      <c r="F70" s="1">
        <v>5942.0</v>
      </c>
      <c r="G70" s="1">
        <v>200.0</v>
      </c>
      <c r="H70" s="1" t="s">
        <v>18</v>
      </c>
      <c r="I70" s="1">
        <v>36125.0</v>
      </c>
    </row>
    <row r="71">
      <c r="D71" s="1" t="s">
        <v>659</v>
      </c>
      <c r="E71" s="1">
        <v>13.0</v>
      </c>
      <c r="F71" s="1">
        <v>4128.0</v>
      </c>
      <c r="G71" s="1">
        <v>38.0</v>
      </c>
      <c r="H71" s="1" t="s">
        <v>19</v>
      </c>
      <c r="I71" s="1">
        <v>19196.0</v>
      </c>
    </row>
    <row r="72">
      <c r="D72" s="1" t="s">
        <v>662</v>
      </c>
      <c r="E72" s="1">
        <v>1.0</v>
      </c>
      <c r="F72" s="1">
        <v>11135.0</v>
      </c>
      <c r="G72" s="1">
        <v>434.0</v>
      </c>
      <c r="H72" s="1" t="s">
        <v>18</v>
      </c>
      <c r="I72" s="1">
        <v>69233.0</v>
      </c>
    </row>
    <row r="73">
      <c r="D73" s="1" t="s">
        <v>659</v>
      </c>
      <c r="E73" s="1">
        <v>2.0</v>
      </c>
      <c r="F73" s="1">
        <v>11918.0</v>
      </c>
      <c r="G73" s="1">
        <v>492.0</v>
      </c>
      <c r="H73" s="1" t="s">
        <v>18</v>
      </c>
      <c r="I73" s="1">
        <v>61959.0</v>
      </c>
    </row>
    <row r="74">
      <c r="D74" s="1" t="s">
        <v>637</v>
      </c>
      <c r="E74" s="1">
        <v>14.0</v>
      </c>
      <c r="F74" s="1">
        <v>4143.0</v>
      </c>
      <c r="G74" s="1">
        <v>27.0</v>
      </c>
      <c r="H74" s="1" t="s">
        <v>19</v>
      </c>
      <c r="I74" s="1">
        <v>19222.0</v>
      </c>
    </row>
    <row r="75">
      <c r="C75" s="78">
        <v>46099.0</v>
      </c>
      <c r="D75" s="1" t="s">
        <v>637</v>
      </c>
      <c r="E75" s="1">
        <v>2.0</v>
      </c>
      <c r="F75" s="1">
        <v>13532.0</v>
      </c>
      <c r="G75" s="1">
        <v>570.0</v>
      </c>
      <c r="H75" s="1" t="s">
        <v>18</v>
      </c>
      <c r="I75" s="1">
        <v>100317.0</v>
      </c>
    </row>
    <row r="76">
      <c r="D76" s="1" t="s">
        <v>650</v>
      </c>
      <c r="E76" s="1">
        <v>2.0</v>
      </c>
      <c r="F76" s="1">
        <v>14289.0</v>
      </c>
      <c r="G76" s="1">
        <v>440.0</v>
      </c>
      <c r="H76" s="1" t="s">
        <v>18</v>
      </c>
      <c r="I76" s="1">
        <v>69499.0</v>
      </c>
    </row>
    <row r="77">
      <c r="D77" s="1" t="s">
        <v>659</v>
      </c>
      <c r="E77" s="1">
        <v>2.0</v>
      </c>
      <c r="F77" s="1">
        <v>13856.0</v>
      </c>
      <c r="G77" s="1">
        <v>368.0</v>
      </c>
      <c r="H77" s="1" t="s">
        <v>18</v>
      </c>
      <c r="I77" s="1">
        <v>68752.0</v>
      </c>
    </row>
    <row r="78">
      <c r="D78" s="1" t="s">
        <v>653</v>
      </c>
      <c r="E78" s="1">
        <v>1.0</v>
      </c>
      <c r="F78" s="1">
        <v>11748.0</v>
      </c>
      <c r="G78" s="1">
        <v>482.0</v>
      </c>
      <c r="H78" s="1" t="s">
        <v>18</v>
      </c>
      <c r="I78" s="1">
        <v>70290.0</v>
      </c>
    </row>
    <row r="79">
      <c r="D79" s="1" t="s">
        <v>656</v>
      </c>
      <c r="E79" s="1">
        <v>7.0</v>
      </c>
      <c r="F79" s="1">
        <v>5447.0</v>
      </c>
      <c r="G79" s="1">
        <v>262.0</v>
      </c>
      <c r="H79" s="1" t="s">
        <v>18</v>
      </c>
      <c r="I79" s="1">
        <v>42172.0</v>
      </c>
    </row>
    <row r="80">
      <c r="D80" s="1" t="s">
        <v>641</v>
      </c>
      <c r="E80" s="1">
        <v>1.0</v>
      </c>
      <c r="F80" s="1">
        <v>14373.0</v>
      </c>
      <c r="G80" s="1">
        <v>568.0</v>
      </c>
      <c r="H80" s="1" t="s">
        <v>18</v>
      </c>
      <c r="I80" s="1">
        <v>69644.0</v>
      </c>
    </row>
    <row r="81">
      <c r="D81" s="1" t="s">
        <v>645</v>
      </c>
      <c r="E81" s="1">
        <v>6.0</v>
      </c>
      <c r="F81" s="1">
        <v>4510.0</v>
      </c>
      <c r="G81" s="1">
        <v>108.0</v>
      </c>
      <c r="H81" s="1" t="s">
        <v>18</v>
      </c>
      <c r="I81" s="1">
        <v>31930.0</v>
      </c>
    </row>
    <row r="82">
      <c r="D82" s="1" t="s">
        <v>662</v>
      </c>
      <c r="E82" s="1">
        <v>5.0</v>
      </c>
      <c r="F82" s="1">
        <v>7669.0</v>
      </c>
      <c r="G82" s="1">
        <v>138.0</v>
      </c>
      <c r="H82" s="1" t="s">
        <v>18</v>
      </c>
      <c r="I82" s="1">
        <v>44280.0</v>
      </c>
    </row>
    <row r="83">
      <c r="C83" s="78">
        <v>46100.0</v>
      </c>
      <c r="D83" s="1" t="s">
        <v>637</v>
      </c>
      <c r="E83" s="1">
        <v>15.0</v>
      </c>
      <c r="F83" s="1">
        <v>3020.0</v>
      </c>
      <c r="G83" s="1">
        <v>29.0</v>
      </c>
      <c r="H83" s="1" t="s">
        <v>19</v>
      </c>
      <c r="I83" s="1">
        <v>15560.0</v>
      </c>
    </row>
    <row r="84">
      <c r="D84" s="1" t="s">
        <v>650</v>
      </c>
      <c r="E84" s="1">
        <v>5.0</v>
      </c>
      <c r="F84" s="1">
        <v>6794.0</v>
      </c>
      <c r="G84" s="1">
        <v>174.0</v>
      </c>
      <c r="H84" s="1" t="s">
        <v>18</v>
      </c>
      <c r="I84" s="1">
        <v>44495.0</v>
      </c>
    </row>
    <row r="85">
      <c r="D85" s="1" t="s">
        <v>637</v>
      </c>
      <c r="E85" s="1">
        <v>4.0</v>
      </c>
      <c r="F85" s="1">
        <v>14480.0</v>
      </c>
      <c r="G85" s="1">
        <v>290.0</v>
      </c>
      <c r="H85" s="1" t="s">
        <v>18</v>
      </c>
      <c r="I85" s="1">
        <v>66378.0</v>
      </c>
    </row>
    <row r="86">
      <c r="D86" s="1" t="s">
        <v>659</v>
      </c>
      <c r="E86" s="1">
        <v>13.0</v>
      </c>
      <c r="F86" s="1">
        <v>4858.0</v>
      </c>
      <c r="G86" s="1">
        <v>37.0</v>
      </c>
      <c r="H86" s="1" t="s">
        <v>19</v>
      </c>
      <c r="I86" s="1">
        <v>23905.0</v>
      </c>
    </row>
    <row r="87">
      <c r="D87" s="1" t="s">
        <v>653</v>
      </c>
      <c r="E87" s="1">
        <v>2.0</v>
      </c>
      <c r="F87" s="1">
        <v>17043.0</v>
      </c>
      <c r="G87" s="1">
        <v>442.0</v>
      </c>
      <c r="H87" s="1" t="s">
        <v>18</v>
      </c>
      <c r="I87" s="1">
        <v>75975.0</v>
      </c>
    </row>
    <row r="88">
      <c r="D88" s="1" t="s">
        <v>659</v>
      </c>
      <c r="E88" s="1">
        <v>1.0</v>
      </c>
      <c r="F88" s="1">
        <v>14759.0</v>
      </c>
      <c r="G88" s="1">
        <v>616.0</v>
      </c>
      <c r="H88" s="1" t="s">
        <v>18</v>
      </c>
      <c r="I88" s="1">
        <v>77210.0</v>
      </c>
    </row>
    <row r="89">
      <c r="D89" s="1" t="s">
        <v>656</v>
      </c>
      <c r="E89" s="1">
        <v>1.0</v>
      </c>
      <c r="F89" s="1">
        <v>12027.0</v>
      </c>
      <c r="G89" s="1">
        <v>524.0</v>
      </c>
      <c r="H89" s="1" t="s">
        <v>18</v>
      </c>
      <c r="I89" s="1">
        <v>69047.0</v>
      </c>
    </row>
    <row r="90">
      <c r="D90" s="1" t="s">
        <v>641</v>
      </c>
      <c r="E90" s="1">
        <v>13.0</v>
      </c>
      <c r="F90" s="1">
        <v>3676.0</v>
      </c>
      <c r="G90" s="1">
        <v>44.0</v>
      </c>
      <c r="H90" s="1" t="s">
        <v>19</v>
      </c>
      <c r="I90" s="1">
        <v>18416.0</v>
      </c>
    </row>
    <row r="91">
      <c r="D91" s="1" t="s">
        <v>645</v>
      </c>
      <c r="E91" s="1">
        <v>5.0</v>
      </c>
      <c r="F91" s="1">
        <v>6077.0</v>
      </c>
      <c r="G91" s="1">
        <v>234.0</v>
      </c>
      <c r="H91" s="1" t="s">
        <v>18</v>
      </c>
      <c r="I91" s="1">
        <v>44811.0</v>
      </c>
    </row>
    <row r="92">
      <c r="D92" s="1" t="s">
        <v>662</v>
      </c>
      <c r="E92" s="1">
        <v>4.0</v>
      </c>
      <c r="F92" s="1">
        <v>10002.0</v>
      </c>
      <c r="G92" s="1">
        <v>212.0</v>
      </c>
      <c r="H92" s="1" t="s">
        <v>18</v>
      </c>
      <c r="I92" s="1">
        <v>51753.0</v>
      </c>
    </row>
    <row r="93">
      <c r="D93" s="1" t="s">
        <v>641</v>
      </c>
      <c r="E93" s="1">
        <v>1.0</v>
      </c>
      <c r="F93" s="1">
        <v>9636.0</v>
      </c>
      <c r="G93" s="1">
        <v>266.0</v>
      </c>
      <c r="H93" s="1" t="s">
        <v>18</v>
      </c>
      <c r="I93" s="1">
        <v>58022.0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689</v>
      </c>
      <c r="C2" s="1" t="s">
        <v>690</v>
      </c>
      <c r="D2" s="1" t="s">
        <v>691</v>
      </c>
    </row>
    <row r="3">
      <c r="B3" s="1">
        <v>608.0</v>
      </c>
      <c r="C3" s="1">
        <v>502.0</v>
      </c>
      <c r="D3" s="1">
        <v>496.0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6.25"/>
    <col customWidth="1" min="4" max="4" width="15.63"/>
    <col customWidth="1" min="5" max="5" width="23.5"/>
    <col customWidth="1" min="6" max="6" width="30.5"/>
    <col customWidth="1" min="7" max="7" width="20.5"/>
    <col customWidth="1" min="8" max="9" width="16.5"/>
  </cols>
  <sheetData>
    <row r="2" ht="22.5" customHeight="1">
      <c r="B2" s="12" t="s">
        <v>453</v>
      </c>
      <c r="C2" s="12" t="s">
        <v>698</v>
      </c>
      <c r="D2" s="79" t="s">
        <v>464</v>
      </c>
      <c r="E2" s="12" t="s">
        <v>454</v>
      </c>
      <c r="F2" s="12" t="s">
        <v>699</v>
      </c>
      <c r="G2" s="12" t="s">
        <v>633</v>
      </c>
      <c r="H2" s="12" t="s">
        <v>539</v>
      </c>
      <c r="I2" s="12" t="s">
        <v>345</v>
      </c>
    </row>
    <row r="3" ht="22.5" customHeight="1">
      <c r="B3" s="17" t="s">
        <v>470</v>
      </c>
      <c r="C3" s="17" t="s">
        <v>119</v>
      </c>
      <c r="D3" s="17" t="s">
        <v>19</v>
      </c>
      <c r="E3" s="15" t="s">
        <v>473</v>
      </c>
      <c r="F3" s="17" t="s">
        <v>539</v>
      </c>
      <c r="G3" s="15" t="s">
        <v>479</v>
      </c>
      <c r="H3" s="15" t="s">
        <v>480</v>
      </c>
    </row>
    <row r="4" ht="22.5" customHeight="1">
      <c r="B4" s="17" t="s">
        <v>470</v>
      </c>
      <c r="C4" s="17" t="s">
        <v>119</v>
      </c>
      <c r="D4" s="17" t="s">
        <v>18</v>
      </c>
      <c r="E4" s="15" t="s">
        <v>513</v>
      </c>
      <c r="F4" s="17" t="s">
        <v>539</v>
      </c>
      <c r="G4" s="15" t="s">
        <v>516</v>
      </c>
      <c r="H4" s="15" t="s">
        <v>517</v>
      </c>
      <c r="I4" s="15" t="s">
        <v>522</v>
      </c>
    </row>
    <row r="5" ht="22.5" customHeight="1">
      <c r="B5" s="17" t="s">
        <v>470</v>
      </c>
      <c r="C5" s="17" t="s">
        <v>327</v>
      </c>
      <c r="D5" s="17" t="s">
        <v>18</v>
      </c>
      <c r="E5" s="15" t="s">
        <v>532</v>
      </c>
      <c r="F5" s="17" t="s">
        <v>539</v>
      </c>
      <c r="G5" s="15" t="s">
        <v>533</v>
      </c>
      <c r="H5" s="15" t="s">
        <v>535</v>
      </c>
      <c r="I5" s="15" t="s">
        <v>543</v>
      </c>
    </row>
    <row r="6" ht="22.5" customHeight="1">
      <c r="B6" s="17" t="s">
        <v>470</v>
      </c>
      <c r="C6" s="17" t="s">
        <v>327</v>
      </c>
      <c r="D6" s="17" t="s">
        <v>18</v>
      </c>
      <c r="E6" s="15" t="s">
        <v>548</v>
      </c>
      <c r="F6" s="17" t="s">
        <v>539</v>
      </c>
      <c r="G6" s="15" t="s">
        <v>549</v>
      </c>
      <c r="H6" s="15" t="s">
        <v>550</v>
      </c>
      <c r="I6" s="15" t="s">
        <v>522</v>
      </c>
    </row>
    <row r="7" ht="22.5" customHeight="1">
      <c r="B7" s="17" t="s">
        <v>470</v>
      </c>
      <c r="C7" s="17" t="s">
        <v>563</v>
      </c>
      <c r="D7" s="17" t="s">
        <v>18</v>
      </c>
      <c r="E7" s="15" t="s">
        <v>562</v>
      </c>
      <c r="F7" s="17" t="s">
        <v>539</v>
      </c>
      <c r="G7" s="15" t="s">
        <v>565</v>
      </c>
      <c r="H7" s="15" t="s">
        <v>566</v>
      </c>
      <c r="I7" s="15" t="s">
        <v>543</v>
      </c>
    </row>
    <row r="8" ht="22.5" customHeight="1">
      <c r="B8" s="17" t="s">
        <v>470</v>
      </c>
      <c r="C8" s="17" t="s">
        <v>572</v>
      </c>
      <c r="D8" s="17" t="s">
        <v>18</v>
      </c>
      <c r="E8" s="15" t="s">
        <v>571</v>
      </c>
      <c r="F8" s="17" t="s">
        <v>539</v>
      </c>
      <c r="G8" s="15" t="s">
        <v>573</v>
      </c>
      <c r="H8" s="15" t="s">
        <v>574</v>
      </c>
      <c r="I8" s="15" t="s">
        <v>522</v>
      </c>
    </row>
    <row r="9" ht="22.5" customHeight="1">
      <c r="B9" s="17" t="s">
        <v>579</v>
      </c>
      <c r="C9" s="17" t="s">
        <v>119</v>
      </c>
      <c r="D9" s="17" t="s">
        <v>19</v>
      </c>
      <c r="E9" s="15" t="s">
        <v>580</v>
      </c>
      <c r="F9" s="17" t="s">
        <v>539</v>
      </c>
      <c r="G9" s="15" t="s">
        <v>582</v>
      </c>
      <c r="H9" s="15" t="s">
        <v>584</v>
      </c>
    </row>
    <row r="10" ht="22.5" customHeight="1">
      <c r="B10" s="17" t="s">
        <v>579</v>
      </c>
      <c r="C10" s="17" t="s">
        <v>179</v>
      </c>
      <c r="D10" s="17" t="s">
        <v>19</v>
      </c>
      <c r="E10" s="15" t="s">
        <v>587</v>
      </c>
      <c r="F10" s="17" t="s">
        <v>539</v>
      </c>
      <c r="G10" s="15" t="s">
        <v>588</v>
      </c>
      <c r="H10" s="15" t="s">
        <v>589</v>
      </c>
    </row>
    <row r="11" ht="22.5" customHeight="1">
      <c r="B11" s="17" t="s">
        <v>579</v>
      </c>
      <c r="C11" s="17" t="s">
        <v>179</v>
      </c>
      <c r="D11" s="17" t="s">
        <v>19</v>
      </c>
      <c r="E11" s="15" t="s">
        <v>610</v>
      </c>
      <c r="F11" s="17" t="s">
        <v>539</v>
      </c>
      <c r="G11" s="15" t="s">
        <v>615</v>
      </c>
      <c r="H11" s="15" t="s">
        <v>616</v>
      </c>
    </row>
    <row r="12" ht="22.5" customHeight="1">
      <c r="B12" s="17" t="s">
        <v>579</v>
      </c>
      <c r="C12" s="17" t="s">
        <v>179</v>
      </c>
      <c r="D12" s="17" t="s">
        <v>18</v>
      </c>
      <c r="E12" s="15" t="s">
        <v>624</v>
      </c>
      <c r="F12" s="17" t="s">
        <v>539</v>
      </c>
      <c r="G12" s="15" t="s">
        <v>625</v>
      </c>
      <c r="H12" s="15" t="s">
        <v>626</v>
      </c>
      <c r="I12" s="15" t="s">
        <v>543</v>
      </c>
    </row>
    <row r="13" ht="22.5" customHeight="1">
      <c r="B13" s="17" t="s">
        <v>579</v>
      </c>
      <c r="C13" s="17" t="s">
        <v>327</v>
      </c>
      <c r="D13" s="17" t="s">
        <v>19</v>
      </c>
      <c r="E13" s="15" t="s">
        <v>627</v>
      </c>
      <c r="F13" s="17" t="s">
        <v>539</v>
      </c>
      <c r="G13" s="15" t="s">
        <v>628</v>
      </c>
      <c r="H13" s="15" t="s">
        <v>616</v>
      </c>
    </row>
    <row r="14" ht="22.5" customHeight="1">
      <c r="B14" s="17" t="s">
        <v>579</v>
      </c>
      <c r="C14" s="17" t="s">
        <v>327</v>
      </c>
      <c r="D14" s="17" t="s">
        <v>19</v>
      </c>
      <c r="E14" s="15" t="s">
        <v>644</v>
      </c>
      <c r="F14" s="17" t="s">
        <v>539</v>
      </c>
      <c r="G14" s="15" t="s">
        <v>646</v>
      </c>
      <c r="H14" s="15" t="s">
        <v>648</v>
      </c>
    </row>
    <row r="15" ht="22.5" customHeight="1">
      <c r="B15" s="17" t="s">
        <v>579</v>
      </c>
      <c r="C15" s="17" t="s">
        <v>327</v>
      </c>
      <c r="D15" s="17" t="s">
        <v>19</v>
      </c>
      <c r="E15" s="15" t="s">
        <v>666</v>
      </c>
      <c r="F15" s="17" t="s">
        <v>539</v>
      </c>
      <c r="G15" s="15" t="s">
        <v>668</v>
      </c>
      <c r="H15" s="15" t="s">
        <v>648</v>
      </c>
    </row>
    <row r="16" ht="22.5" customHeight="1">
      <c r="B16" s="17" t="s">
        <v>579</v>
      </c>
      <c r="C16" s="17" t="s">
        <v>327</v>
      </c>
      <c r="D16" s="17" t="s">
        <v>19</v>
      </c>
      <c r="E16" s="15" t="s">
        <v>670</v>
      </c>
      <c r="F16" s="17" t="s">
        <v>539</v>
      </c>
      <c r="G16" s="15" t="s">
        <v>671</v>
      </c>
      <c r="H16" s="15" t="s">
        <v>648</v>
      </c>
    </row>
    <row r="17" ht="22.5" customHeight="1">
      <c r="B17" s="17" t="s">
        <v>579</v>
      </c>
      <c r="C17" s="17" t="s">
        <v>327</v>
      </c>
      <c r="D17" s="17" t="s">
        <v>18</v>
      </c>
      <c r="E17" s="15" t="s">
        <v>532</v>
      </c>
      <c r="F17" s="17" t="s">
        <v>539</v>
      </c>
      <c r="G17" s="15" t="s">
        <v>672</v>
      </c>
      <c r="H17" s="15" t="s">
        <v>535</v>
      </c>
      <c r="I17" s="15" t="s">
        <v>543</v>
      </c>
    </row>
    <row r="18" ht="22.5" customHeight="1">
      <c r="B18" s="17" t="s">
        <v>579</v>
      </c>
      <c r="C18" s="17" t="s">
        <v>327</v>
      </c>
      <c r="D18" s="17" t="s">
        <v>18</v>
      </c>
      <c r="E18" s="15" t="s">
        <v>548</v>
      </c>
      <c r="F18" s="17" t="s">
        <v>675</v>
      </c>
      <c r="G18" s="15" t="s">
        <v>673</v>
      </c>
      <c r="H18" s="15" t="s">
        <v>550</v>
      </c>
      <c r="I18" s="15" t="s">
        <v>543</v>
      </c>
    </row>
    <row r="19" ht="22.5" customHeight="1">
      <c r="B19" s="17" t="s">
        <v>579</v>
      </c>
      <c r="C19" s="17" t="s">
        <v>563</v>
      </c>
      <c r="D19" s="17" t="s">
        <v>19</v>
      </c>
      <c r="E19" s="15" t="s">
        <v>676</v>
      </c>
      <c r="F19" s="17" t="s">
        <v>675</v>
      </c>
      <c r="G19" s="15" t="s">
        <v>677</v>
      </c>
      <c r="H19" s="15" t="s">
        <v>678</v>
      </c>
    </row>
    <row r="20" ht="22.5" customHeight="1">
      <c r="B20" s="17" t="s">
        <v>579</v>
      </c>
      <c r="C20" s="17" t="s">
        <v>563</v>
      </c>
      <c r="D20" s="17" t="s">
        <v>19</v>
      </c>
      <c r="E20" s="15" t="s">
        <v>681</v>
      </c>
      <c r="F20" s="17" t="s">
        <v>539</v>
      </c>
      <c r="G20" s="15" t="s">
        <v>682</v>
      </c>
      <c r="H20" s="15" t="s">
        <v>584</v>
      </c>
    </row>
    <row r="21" ht="22.5" customHeight="1">
      <c r="B21" s="17" t="s">
        <v>579</v>
      </c>
      <c r="C21" s="17" t="s">
        <v>563</v>
      </c>
      <c r="D21" s="17" t="s">
        <v>18</v>
      </c>
      <c r="E21" s="15" t="s">
        <v>683</v>
      </c>
      <c r="F21" s="17" t="s">
        <v>675</v>
      </c>
      <c r="G21" s="15" t="s">
        <v>684</v>
      </c>
      <c r="H21" s="15" t="s">
        <v>535</v>
      </c>
    </row>
    <row r="22" ht="22.5" customHeight="1">
      <c r="B22" s="17" t="s">
        <v>579</v>
      </c>
      <c r="C22" s="17" t="s">
        <v>563</v>
      </c>
      <c r="D22" s="17" t="s">
        <v>19</v>
      </c>
      <c r="E22" s="15" t="s">
        <v>685</v>
      </c>
      <c r="F22" s="17" t="s">
        <v>539</v>
      </c>
      <c r="G22" s="15" t="s">
        <v>686</v>
      </c>
      <c r="H22" s="15" t="s">
        <v>535</v>
      </c>
    </row>
    <row r="23" ht="22.5" customHeight="1">
      <c r="B23" s="17" t="s">
        <v>579</v>
      </c>
      <c r="C23" s="17" t="s">
        <v>563</v>
      </c>
      <c r="D23" s="17" t="s">
        <v>18</v>
      </c>
      <c r="E23" s="15" t="s">
        <v>562</v>
      </c>
      <c r="F23" s="17" t="s">
        <v>675</v>
      </c>
      <c r="G23" s="15" t="s">
        <v>687</v>
      </c>
      <c r="H23" s="15" t="s">
        <v>688</v>
      </c>
      <c r="I23" s="15" t="s">
        <v>543</v>
      </c>
    </row>
    <row r="24" ht="22.5" customHeight="1">
      <c r="B24" s="17" t="s">
        <v>579</v>
      </c>
      <c r="C24" s="17" t="s">
        <v>572</v>
      </c>
      <c r="D24" s="17" t="s">
        <v>19</v>
      </c>
      <c r="E24" s="15" t="s">
        <v>692</v>
      </c>
      <c r="F24" s="17" t="s">
        <v>539</v>
      </c>
      <c r="G24" s="15" t="s">
        <v>693</v>
      </c>
      <c r="H24" s="15" t="s">
        <v>584</v>
      </c>
    </row>
    <row r="25" ht="22.5" customHeight="1">
      <c r="B25" s="17" t="s">
        <v>579</v>
      </c>
      <c r="C25" s="17" t="s">
        <v>572</v>
      </c>
      <c r="D25" s="17" t="s">
        <v>18</v>
      </c>
      <c r="E25" s="15" t="s">
        <v>694</v>
      </c>
      <c r="F25" s="17" t="s">
        <v>539</v>
      </c>
      <c r="G25" s="15" t="s">
        <v>695</v>
      </c>
      <c r="H25" s="15" t="s">
        <v>84</v>
      </c>
    </row>
    <row r="26" ht="22.5" customHeight="1">
      <c r="B26" s="17" t="s">
        <v>579</v>
      </c>
      <c r="C26" s="17" t="s">
        <v>572</v>
      </c>
      <c r="D26" s="17" t="s">
        <v>18</v>
      </c>
      <c r="E26" s="15" t="s">
        <v>571</v>
      </c>
      <c r="F26" s="17" t="s">
        <v>675</v>
      </c>
      <c r="G26" s="15" t="s">
        <v>696</v>
      </c>
      <c r="H26" s="15" t="s">
        <v>697</v>
      </c>
      <c r="I26" s="15" t="s">
        <v>543</v>
      </c>
    </row>
  </sheetData>
  <dataValidations>
    <dataValidation type="list" allowBlank="1" showDropDown="1" showErrorMessage="1" sqref="F3:F26">
      <formula1>"Honors,Primary"</formula1>
    </dataValidation>
    <dataValidation type="list" allowBlank="1" sqref="D3:D26">
      <formula1>"N,Y"</formula1>
    </dataValidation>
    <dataValidation type="list" allowBlank="1" showDropDown="1" showErrorMessage="1" sqref="C3:C26">
      <formula1>"LT,HT,TD,SPG,MT"</formula1>
    </dataValidation>
    <dataValidation type="list" allowBlank="1" sqref="B3:B26">
      <formula1>"T 55A,Object 260"</formula1>
    </dataValidation>
  </dataValidations>
  <drawing r:id="rId1"/>
  <tableParts count="1">
    <tablePart r:id="rId3"/>
  </tableParts>
</worksheet>
</file>